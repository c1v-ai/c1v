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1040" windowWidth="35820" windowHeight="19440" tabRatio="600" firstSheet="0" activeTab="0" autoFilterDateGrouping="1"/>
  </bookViews>
  <sheets>
    <sheet xmlns:r="http://schemas.openxmlformats.org/officeDocument/2006/relationships" name="QFD Template" sheetId="1" state="visible" r:id="rId1"/>
    <sheet xmlns:r="http://schemas.openxmlformats.org/officeDocument/2006/relationships" name="QFD Sample" sheetId="2" state="visible" r:id="rId2"/>
    <sheet xmlns:r="http://schemas.openxmlformats.org/officeDocument/2006/relationships" name="Sample References" sheetId="3" state="visible" r:id="rId3"/>
  </sheets>
  <definedNames/>
  <calcPr calcId="191029" fullCalcOnLoad="1" iterate="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1"/>
      <scheme val="minor"/>
    </font>
    <font>
      <name val="Arial"/>
      <family val="2"/>
      <color theme="1"/>
      <sz val="12"/>
    </font>
    <font>
      <name val="Arial"/>
      <family val="2"/>
      <b val="1"/>
      <color theme="1"/>
      <sz val="16"/>
    </font>
    <font>
      <name val="Arial"/>
      <family val="2"/>
      <b val="1"/>
      <color theme="1"/>
      <sz val="12"/>
    </font>
    <font>
      <name val="Tahoma"/>
      <family val="2"/>
      <color rgb="FF000000"/>
      <sz val="10"/>
    </font>
    <font>
      <name val="Tahoma"/>
      <family val="2"/>
      <b val="1"/>
      <color rgb="FF000000"/>
      <sz val="10"/>
    </font>
    <font>
      <name val="Calibri"/>
      <family val="2"/>
      <b val="1"/>
      <color theme="1"/>
      <sz val="12"/>
      <scheme val="minor"/>
    </font>
    <font>
      <name val="Arial"/>
      <family val="2"/>
      <i val="1"/>
      <color theme="1"/>
      <sz val="12"/>
    </font>
    <font>
      <name val="Arial"/>
      <family val="2"/>
      <color theme="0" tint="-0.0499893185216834"/>
      <sz val="12"/>
    </font>
    <font>
      <name val="Calibri"/>
      <family val="2"/>
      <i val="1"/>
      <color theme="1"/>
      <sz val="12"/>
      <scheme val="minor"/>
    </font>
    <font>
      <name val="Calibri"/>
      <family val="2"/>
      <color theme="0" tint="-0.0499893185216834"/>
      <sz val="12"/>
      <scheme val="minor"/>
    </font>
    <font>
      <name val="Calibri"/>
      <family val="2"/>
      <b val="1"/>
      <color theme="1"/>
      <sz val="12"/>
      <vertAlign val="superscript"/>
      <scheme val="minor"/>
    </font>
  </fonts>
  <fills count="3">
    <fill>
      <patternFill/>
    </fill>
    <fill>
      <patternFill patternType="gray125"/>
    </fill>
    <fill>
      <patternFill patternType="solid">
        <fgColor theme="0" tint="-0.0499893185216834"/>
        <bgColor indexed="64"/>
      </patternFill>
    </fill>
  </fills>
  <borders count="52">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bottom style="medium">
        <color auto="1"/>
      </bottom>
      <diagonal/>
    </border>
    <border>
      <left style="medium">
        <color auto="1"/>
      </left>
      <right style="thin">
        <color auto="1"/>
      </right>
      <top/>
      <bottom style="thin">
        <color auto="1"/>
      </bottom>
      <diagonal/>
    </border>
    <border>
      <left style="medium">
        <color auto="1"/>
      </left>
      <right/>
      <top style="medium">
        <color auto="1"/>
      </top>
      <bottom style="thin">
        <color auto="1"/>
      </bottom>
      <diagonal/>
    </border>
    <border>
      <left/>
      <right/>
      <top/>
      <bottom style="medium">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medium">
        <color auto="1"/>
      </right>
      <top/>
      <bottom/>
      <diagonal/>
    </border>
    <border>
      <left/>
      <right/>
      <top style="medium">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right/>
      <top style="thin">
        <color auto="1"/>
      </top>
      <bottom/>
      <diagonal/>
    </border>
    <border>
      <left/>
      <right style="medium">
        <color auto="1"/>
      </right>
      <top style="thin">
        <color auto="1"/>
      </top>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thin">
        <color auto="1"/>
      </top>
      <bottom style="medium">
        <color auto="1"/>
      </bottom>
      <diagonal/>
    </border>
    <border>
      <left style="thin">
        <color auto="1"/>
      </left>
      <right/>
      <top style="thin">
        <color auto="1"/>
      </top>
      <bottom/>
      <diagonal/>
    </border>
    <border>
      <left style="thin">
        <color auto="1"/>
      </left>
      <right/>
      <top style="medium">
        <color auto="1"/>
      </top>
      <bottom style="thin">
        <color auto="1"/>
      </bottom>
      <diagonal/>
    </border>
    <border>
      <left style="thin">
        <color theme="0"/>
      </left>
      <right/>
      <top style="thin">
        <color theme="0"/>
      </top>
      <bottom style="thin">
        <color theme="0"/>
      </bottom>
      <diagonal/>
    </border>
    <border>
      <left style="medium">
        <color auto="1"/>
      </left>
      <right style="medium">
        <color auto="1"/>
      </right>
      <top style="medium">
        <color auto="1"/>
      </top>
      <bottom/>
      <diagonal/>
    </border>
    <border>
      <left/>
      <right style="thin">
        <color auto="1"/>
      </right>
      <top style="thin">
        <color auto="1"/>
      </top>
      <bottom style="medium">
        <color auto="1"/>
      </bottom>
      <diagonal/>
    </border>
    <border>
      <left/>
      <right style="thin">
        <color auto="1"/>
      </right>
      <top style="medium">
        <color auto="1"/>
      </top>
      <bottom/>
      <diagonal/>
    </border>
    <border>
      <left/>
      <right style="thin">
        <color auto="1"/>
      </right>
      <top style="medium">
        <color auto="1"/>
      </top>
      <bottom style="thin">
        <color auto="1"/>
      </bottom>
      <diagonal/>
    </border>
  </borders>
  <cellStyleXfs count="3">
    <xf numFmtId="0" fontId="4" fillId="0" borderId="0"/>
    <xf numFmtId="9" fontId="4" fillId="0" borderId="0"/>
    <xf numFmtId="0" fontId="3" fillId="0" borderId="0"/>
  </cellStyleXfs>
  <cellXfs count="253">
    <xf numFmtId="0" fontId="0" fillId="0" borderId="0" pivotButton="0" quotePrefix="0" xfId="0"/>
    <xf numFmtId="0" fontId="0" fillId="0" borderId="0" applyAlignment="1" pivotButton="0" quotePrefix="0" xfId="0">
      <alignment wrapText="1"/>
    </xf>
    <xf numFmtId="0" fontId="6" fillId="0" borderId="0" pivotButton="0" quotePrefix="0" xfId="0"/>
    <xf numFmtId="0" fontId="5" fillId="0" borderId="0" pivotButton="0" quotePrefix="0" xfId="0"/>
    <xf numFmtId="0" fontId="6" fillId="0" borderId="47" applyAlignment="1" pivotButton="0" quotePrefix="0" xfId="0">
      <alignment wrapText="1"/>
    </xf>
    <xf numFmtId="0" fontId="0" fillId="0" borderId="47" applyAlignment="1" pivotButton="0" quotePrefix="0" xfId="0">
      <alignment wrapText="1"/>
    </xf>
    <xf numFmtId="0" fontId="5" fillId="0" borderId="47" applyAlignment="1" pivotButton="0" quotePrefix="0" xfId="0">
      <alignment wrapText="1"/>
    </xf>
    <xf numFmtId="0" fontId="5" fillId="0" borderId="47" applyAlignment="1" pivotButton="0" quotePrefix="0" xfId="0">
      <alignment vertical="top" wrapText="1"/>
    </xf>
    <xf numFmtId="0" fontId="7" fillId="0" borderId="47" applyAlignment="1" pivotButton="0" quotePrefix="0" xfId="0">
      <alignment wrapText="1"/>
    </xf>
    <xf numFmtId="0" fontId="7" fillId="0" borderId="0" pivotButton="0" quotePrefix="0" xfId="0"/>
    <xf numFmtId="0" fontId="5" fillId="0" borderId="0" applyAlignment="1" pivotButton="0" quotePrefix="0" xfId="0">
      <alignment horizontal="right"/>
    </xf>
    <xf numFmtId="0" fontId="5" fillId="2" borderId="25" applyAlignment="1" pivotButton="0" quotePrefix="0" xfId="0">
      <alignment horizontal="center"/>
    </xf>
    <xf numFmtId="0" fontId="5" fillId="0" borderId="23" pivotButton="0" quotePrefix="0" xfId="0"/>
    <xf numFmtId="0" fontId="5" fillId="0" borderId="0" applyAlignment="1" pivotButton="0" quotePrefix="1" xfId="0">
      <alignment horizontal="center"/>
    </xf>
    <xf numFmtId="0" fontId="5" fillId="0" borderId="5" pivotButton="0" quotePrefix="0" xfId="0"/>
    <xf numFmtId="0" fontId="5" fillId="2" borderId="22" applyAlignment="1" pivotButton="0" quotePrefix="0" xfId="0">
      <alignment horizontal="center"/>
    </xf>
    <xf numFmtId="0" fontId="5" fillId="0" borderId="28" pivotButton="0" quotePrefix="0" xfId="0"/>
    <xf numFmtId="0" fontId="5" fillId="0" borderId="0" applyAlignment="1" pivotButton="0" quotePrefix="0" xfId="0">
      <alignment horizontal="center"/>
    </xf>
    <xf numFmtId="14" fontId="5" fillId="0" borderId="0" applyAlignment="1" pivotButton="0" quotePrefix="0" xfId="0">
      <alignment horizontal="left"/>
    </xf>
    <xf numFmtId="0" fontId="5" fillId="0" borderId="1" pivotButton="0" quotePrefix="0" xfId="0"/>
    <xf numFmtId="0" fontId="5" fillId="0" borderId="1" applyAlignment="1" pivotButton="0" quotePrefix="0" xfId="0">
      <alignment horizontal="right"/>
    </xf>
    <xf numFmtId="0" fontId="5" fillId="2" borderId="19" applyAlignment="1" pivotButton="0" quotePrefix="0" xfId="0">
      <alignment horizontal="center"/>
    </xf>
    <xf numFmtId="0" fontId="5" fillId="0" borderId="21" pivotButton="0" quotePrefix="0" xfId="0"/>
    <xf numFmtId="0" fontId="5" fillId="0" borderId="35" pivotButton="0" quotePrefix="0" xfId="0"/>
    <xf numFmtId="0" fontId="5" fillId="0" borderId="5" pivotButton="0" quotePrefix="1" xfId="0"/>
    <xf numFmtId="0" fontId="5" fillId="0" borderId="19" applyAlignment="1" pivotButton="0" quotePrefix="0" xfId="0">
      <alignment horizontal="center"/>
    </xf>
    <xf numFmtId="0" fontId="5" fillId="0" borderId="1" pivotButton="0" quotePrefix="1" xfId="0"/>
    <xf numFmtId="0" fontId="5" fillId="0" borderId="33" pivotButton="0" quotePrefix="0" xfId="0"/>
    <xf numFmtId="0" fontId="5" fillId="0" borderId="16" pivotButton="0" quotePrefix="0" xfId="0"/>
    <xf numFmtId="0" fontId="5" fillId="0" borderId="34" pivotButton="0" quotePrefix="0" xfId="0"/>
    <xf numFmtId="0" fontId="5" fillId="0" borderId="5" applyAlignment="1" pivotButton="0" quotePrefix="0" xfId="0">
      <alignment horizontal="right"/>
    </xf>
    <xf numFmtId="0" fontId="5" fillId="0" borderId="1" applyAlignment="1" pivotButton="0" quotePrefix="1" xfId="0">
      <alignment horizontal="right"/>
    </xf>
    <xf numFmtId="0" fontId="5" fillId="0" borderId="20" pivotButton="0" quotePrefix="0" xfId="0"/>
    <xf numFmtId="0" fontId="5" fillId="2" borderId="12" applyAlignment="1" pivotButton="0" quotePrefix="0" xfId="0">
      <alignment horizontal="center"/>
    </xf>
    <xf numFmtId="0" fontId="11" fillId="0" borderId="0" applyAlignment="1" pivotButton="0" quotePrefix="0" xfId="0">
      <alignment horizontal="right"/>
    </xf>
    <xf numFmtId="0" fontId="5" fillId="0" borderId="39" pivotButton="0" quotePrefix="0" xfId="0"/>
    <xf numFmtId="0" fontId="11" fillId="0" borderId="0" applyAlignment="1" pivotButton="0" quotePrefix="0" xfId="0">
      <alignment wrapText="1"/>
    </xf>
    <xf numFmtId="0" fontId="5" fillId="0" borderId="34" applyAlignment="1" pivotButton="0" quotePrefix="0" xfId="0">
      <alignment textRotation="90" wrapText="1"/>
    </xf>
    <xf numFmtId="0" fontId="5" fillId="0" borderId="28" applyAlignment="1" pivotButton="0" quotePrefix="0" xfId="0">
      <alignment textRotation="90" wrapText="1"/>
    </xf>
    <xf numFmtId="0" fontId="5" fillId="0" borderId="28" applyAlignment="1" pivotButton="0" quotePrefix="0" xfId="0">
      <alignment textRotation="90"/>
    </xf>
    <xf numFmtId="0" fontId="5" fillId="0" borderId="35" applyAlignment="1" pivotButton="0" quotePrefix="0" xfId="0">
      <alignment textRotation="90"/>
    </xf>
    <xf numFmtId="0" fontId="5" fillId="0" borderId="36" applyAlignment="1" pivotButton="0" quotePrefix="0" xfId="0">
      <alignment textRotation="90"/>
    </xf>
    <xf numFmtId="0" fontId="5" fillId="2" borderId="0" pivotButton="0" quotePrefix="0" xfId="0"/>
    <xf numFmtId="0" fontId="5" fillId="0" borderId="13" applyAlignment="1" pivotButton="0" quotePrefix="0" xfId="0">
      <alignment horizontal="center"/>
    </xf>
    <xf numFmtId="0" fontId="5" fillId="0" borderId="14" applyAlignment="1" pivotButton="0" quotePrefix="0" xfId="0">
      <alignment horizontal="center"/>
    </xf>
    <xf numFmtId="0" fontId="5" fillId="0" borderId="41" applyAlignment="1" pivotButton="0" quotePrefix="0" xfId="0">
      <alignment horizontal="center"/>
    </xf>
    <xf numFmtId="0" fontId="5" fillId="0" borderId="15" applyAlignment="1" pivotButton="0" quotePrefix="0" xfId="0">
      <alignment horizontal="center"/>
    </xf>
    <xf numFmtId="0" fontId="11" fillId="0" borderId="28" pivotButton="0" quotePrefix="0" xfId="0"/>
    <xf numFmtId="2" fontId="12" fillId="0" borderId="0" pivotButton="0" quotePrefix="0" xfId="0"/>
    <xf numFmtId="0" fontId="5" fillId="2" borderId="40" pivotButton="0" quotePrefix="0" xfId="0"/>
    <xf numFmtId="0" fontId="5" fillId="2" borderId="42" pivotButton="0" quotePrefix="0" xfId="0"/>
    <xf numFmtId="0" fontId="5" fillId="2" borderId="43" pivotButton="0" quotePrefix="0" xfId="0"/>
    <xf numFmtId="0" fontId="5" fillId="0" borderId="34" applyAlignment="1" pivotButton="0" quotePrefix="0" xfId="0">
      <alignment horizontal="center"/>
    </xf>
    <xf numFmtId="0" fontId="5" fillId="0" borderId="35" applyAlignment="1" pivotButton="0" quotePrefix="0" xfId="0">
      <alignment horizontal="center"/>
    </xf>
    <xf numFmtId="0" fontId="5" fillId="0" borderId="28" applyAlignment="1" pivotButton="0" quotePrefix="0" xfId="0">
      <alignment horizontal="center"/>
    </xf>
    <xf numFmtId="0" fontId="5" fillId="0" borderId="38" applyAlignment="1" pivotButton="0" quotePrefix="0" xfId="0">
      <alignment horizontal="center"/>
    </xf>
    <xf numFmtId="0" fontId="5" fillId="0" borderId="45" applyAlignment="1" pivotButton="0" quotePrefix="0" xfId="0">
      <alignment horizontal="center"/>
    </xf>
    <xf numFmtId="0" fontId="5" fillId="0" borderId="36" applyAlignment="1" pivotButton="0" quotePrefix="0" xfId="0">
      <alignment horizontal="center"/>
    </xf>
    <xf numFmtId="0" fontId="5" fillId="0" borderId="25" pivotButton="0" quotePrefix="0" xfId="0"/>
    <xf numFmtId="0" fontId="5" fillId="0" borderId="17" pivotButton="0" quotePrefix="0" xfId="0"/>
    <xf numFmtId="2" fontId="5" fillId="0" borderId="32" pivotButton="0" quotePrefix="0" xfId="0"/>
    <xf numFmtId="1" fontId="5" fillId="0" borderId="24" applyAlignment="1" pivotButton="0" quotePrefix="0" xfId="0">
      <alignment horizontal="center"/>
    </xf>
    <xf numFmtId="1" fontId="5" fillId="0" borderId="20" applyAlignment="1" pivotButton="0" quotePrefix="0" xfId="0">
      <alignment horizontal="center"/>
    </xf>
    <xf numFmtId="1" fontId="5" fillId="0" borderId="20" applyAlignment="1" pivotButton="0" quotePrefix="1" xfId="0">
      <alignment horizontal="center"/>
    </xf>
    <xf numFmtId="1" fontId="5" fillId="0" borderId="22" applyAlignment="1" pivotButton="0" quotePrefix="0" xfId="0">
      <alignment horizontal="center"/>
    </xf>
    <xf numFmtId="0" fontId="5" fillId="0" borderId="2" applyAlignment="1" pivotButton="0" quotePrefix="0" xfId="0">
      <alignment horizontal="center"/>
    </xf>
    <xf numFmtId="0" fontId="5" fillId="0" borderId="3" applyAlignment="1" pivotButton="0" quotePrefix="0" xfId="0">
      <alignment horizontal="center"/>
    </xf>
    <xf numFmtId="0" fontId="5" fillId="0" borderId="46" applyAlignment="1" pivotButton="0" quotePrefix="0" xfId="0">
      <alignment horizontal="center"/>
    </xf>
    <xf numFmtId="164" fontId="5" fillId="0" borderId="2" pivotButton="0" quotePrefix="0" xfId="0"/>
    <xf numFmtId="164" fontId="5" fillId="0" borderId="3" pivotButton="0" quotePrefix="0" xfId="0"/>
    <xf numFmtId="164" fontId="5" fillId="0" borderId="4" pivotButton="0" quotePrefix="0" xfId="0"/>
    <xf numFmtId="0" fontId="5" fillId="0" borderId="27" pivotButton="0" quotePrefix="0" xfId="0"/>
    <xf numFmtId="0" fontId="5" fillId="0" borderId="31" pivotButton="0" quotePrefix="0" xfId="0"/>
    <xf numFmtId="2" fontId="5" fillId="0" borderId="33" pivotButton="0" quotePrefix="0" xfId="0"/>
    <xf numFmtId="1" fontId="5" fillId="0" borderId="5" applyAlignment="1" pivotButton="0" quotePrefix="0" xfId="0">
      <alignment horizontal="center"/>
    </xf>
    <xf numFmtId="1" fontId="5" fillId="0" borderId="1" applyAlignment="1" pivotButton="0" quotePrefix="0" xfId="0">
      <alignment horizontal="center"/>
    </xf>
    <xf numFmtId="1" fontId="5" fillId="0" borderId="27" applyAlignment="1" pivotButton="0" quotePrefix="0" xfId="0">
      <alignment horizontal="center"/>
    </xf>
    <xf numFmtId="0" fontId="5" fillId="0" borderId="5" applyAlignment="1" pivotButton="0" quotePrefix="0" xfId="0">
      <alignment horizontal="center"/>
    </xf>
    <xf numFmtId="0" fontId="5" fillId="0" borderId="1" applyAlignment="1" pivotButton="0" quotePrefix="0" xfId="0">
      <alignment horizontal="center"/>
    </xf>
    <xf numFmtId="0" fontId="5" fillId="0" borderId="27" applyAlignment="1" pivotButton="0" quotePrefix="0" xfId="0">
      <alignment horizontal="center"/>
    </xf>
    <xf numFmtId="164" fontId="5" fillId="0" borderId="5" pivotButton="0" quotePrefix="0" xfId="0"/>
    <xf numFmtId="164" fontId="5" fillId="0" borderId="1" pivotButton="0" quotePrefix="0" xfId="0"/>
    <xf numFmtId="164" fontId="5" fillId="0" borderId="6" pivotButton="0" quotePrefix="0" xfId="0"/>
    <xf numFmtId="0" fontId="5" fillId="0" borderId="29" pivotButton="0" quotePrefix="0" xfId="0"/>
    <xf numFmtId="0" fontId="5" fillId="0" borderId="18" pivotButton="0" quotePrefix="0" xfId="0"/>
    <xf numFmtId="0" fontId="5" fillId="0" borderId="30" pivotButton="0" quotePrefix="0" xfId="0"/>
    <xf numFmtId="0" fontId="5" fillId="0" borderId="37" pivotButton="0" quotePrefix="0" xfId="0"/>
    <xf numFmtId="2" fontId="5" fillId="0" borderId="38" pivotButton="0" quotePrefix="0" xfId="0"/>
    <xf numFmtId="1" fontId="5" fillId="0" borderId="34" applyAlignment="1" pivotButton="0" quotePrefix="0" xfId="0">
      <alignment horizontal="center"/>
    </xf>
    <xf numFmtId="1" fontId="5" fillId="0" borderId="28" applyAlignment="1" pivotButton="0" quotePrefix="0" xfId="0">
      <alignment horizontal="center"/>
    </xf>
    <xf numFmtId="1" fontId="5" fillId="0" borderId="45" applyAlignment="1" pivotButton="0" quotePrefix="0" xfId="0">
      <alignment horizontal="center"/>
    </xf>
    <xf numFmtId="0" fontId="5" fillId="0" borderId="7" applyAlignment="1" pivotButton="0" quotePrefix="0" xfId="0">
      <alignment horizontal="center"/>
    </xf>
    <xf numFmtId="0" fontId="5" fillId="0" borderId="8" applyAlignment="1" pivotButton="0" quotePrefix="0" xfId="0">
      <alignment horizontal="center"/>
    </xf>
    <xf numFmtId="0" fontId="5" fillId="0" borderId="44" applyAlignment="1" pivotButton="0" quotePrefix="0" xfId="0">
      <alignment horizontal="center"/>
    </xf>
    <xf numFmtId="164" fontId="5" fillId="0" borderId="7" pivotButton="0" quotePrefix="0" xfId="0"/>
    <xf numFmtId="164" fontId="5" fillId="0" borderId="8" pivotButton="0" quotePrefix="0" xfId="0"/>
    <xf numFmtId="164" fontId="5" fillId="0" borderId="9" pivotButton="0" quotePrefix="0" xfId="0"/>
    <xf numFmtId="0" fontId="5" fillId="0" borderId="3" pivotButton="0" quotePrefix="0" xfId="0"/>
    <xf numFmtId="0" fontId="5" fillId="0" borderId="4" applyAlignment="1" pivotButton="0" quotePrefix="0" xfId="0">
      <alignment wrapText="1"/>
    </xf>
    <xf numFmtId="164" fontId="7" fillId="0" borderId="0" pivotButton="0" quotePrefix="0" xfId="0"/>
    <xf numFmtId="0" fontId="11" fillId="0" borderId="0" applyAlignment="1" pivotButton="0" quotePrefix="0" xfId="0">
      <alignment horizontal="left"/>
    </xf>
    <xf numFmtId="2" fontId="5" fillId="0" borderId="1" pivotButton="0" quotePrefix="0" xfId="0"/>
    <xf numFmtId="0" fontId="5" fillId="0" borderId="6" pivotButton="0" quotePrefix="0" xfId="0"/>
    <xf numFmtId="0" fontId="7" fillId="0" borderId="1" pivotButton="0" quotePrefix="0" xfId="0"/>
    <xf numFmtId="0" fontId="7" fillId="0" borderId="6" pivotButton="0" quotePrefix="0" xfId="0"/>
    <xf numFmtId="1" fontId="5" fillId="0" borderId="1" pivotButton="0" quotePrefix="0" xfId="1"/>
    <xf numFmtId="1" fontId="5" fillId="0" borderId="6" pivotButton="0" quotePrefix="0" xfId="1"/>
    <xf numFmtId="0" fontId="5" fillId="0" borderId="8" pivotButton="0" quotePrefix="0" xfId="0"/>
    <xf numFmtId="0" fontId="5" fillId="0" borderId="9" pivotButton="0" quotePrefix="0" xfId="0"/>
    <xf numFmtId="0" fontId="2" fillId="0" borderId="0" pivotButton="0" quotePrefix="0" xfId="0"/>
    <xf numFmtId="0" fontId="10" fillId="0" borderId="0" pivotButton="0" quotePrefix="0" xfId="0"/>
    <xf numFmtId="0" fontId="2" fillId="0" borderId="0" applyAlignment="1" pivotButton="0" quotePrefix="0" xfId="0">
      <alignment horizontal="right"/>
    </xf>
    <xf numFmtId="0" fontId="2" fillId="2" borderId="25" applyAlignment="1" pivotButton="0" quotePrefix="0" xfId="0">
      <alignment horizontal="center"/>
    </xf>
    <xf numFmtId="0" fontId="2" fillId="0" borderId="23" pivotButton="0" quotePrefix="0" xfId="0"/>
    <xf numFmtId="0" fontId="2" fillId="0" borderId="0" applyAlignment="1" pivotButton="0" quotePrefix="1" xfId="0">
      <alignment horizontal="center"/>
    </xf>
    <xf numFmtId="0" fontId="2" fillId="0" borderId="5" pivotButton="0" quotePrefix="0" xfId="0"/>
    <xf numFmtId="0" fontId="2" fillId="2" borderId="22" applyAlignment="1" pivotButton="0" quotePrefix="0" xfId="0">
      <alignment horizontal="center"/>
    </xf>
    <xf numFmtId="0" fontId="2" fillId="0" borderId="28" pivotButton="0" quotePrefix="0" xfId="0"/>
    <xf numFmtId="0" fontId="2" fillId="0" borderId="0" applyAlignment="1" pivotButton="0" quotePrefix="0" xfId="0">
      <alignment horizontal="center"/>
    </xf>
    <xf numFmtId="14" fontId="2" fillId="0" borderId="0" applyAlignment="1" pivotButton="0" quotePrefix="0" xfId="0">
      <alignment horizontal="left"/>
    </xf>
    <xf numFmtId="0" fontId="2" fillId="0" borderId="1" pivotButton="0" quotePrefix="0" xfId="0"/>
    <xf numFmtId="0" fontId="2" fillId="0" borderId="1" applyAlignment="1" pivotButton="0" quotePrefix="0" xfId="0">
      <alignment horizontal="right"/>
    </xf>
    <xf numFmtId="0" fontId="2" fillId="2" borderId="19" applyAlignment="1" pivotButton="0" quotePrefix="0" xfId="0">
      <alignment horizontal="center"/>
    </xf>
    <xf numFmtId="0" fontId="2" fillId="0" borderId="21" pivotButton="0" quotePrefix="0" xfId="0"/>
    <xf numFmtId="0" fontId="2" fillId="0" borderId="35" pivotButton="0" quotePrefix="0" xfId="0"/>
    <xf numFmtId="0" fontId="2" fillId="0" borderId="5" pivotButton="0" quotePrefix="1" xfId="0"/>
    <xf numFmtId="0" fontId="2" fillId="0" borderId="1" pivotButton="0" quotePrefix="1" xfId="0"/>
    <xf numFmtId="0" fontId="2" fillId="0" borderId="33" pivotButton="0" quotePrefix="0" xfId="0"/>
    <xf numFmtId="0" fontId="2" fillId="0" borderId="16" pivotButton="0" quotePrefix="0" xfId="0"/>
    <xf numFmtId="0" fontId="2" fillId="0" borderId="34" pivotButton="0" quotePrefix="0" xfId="0"/>
    <xf numFmtId="0" fontId="2" fillId="0" borderId="5" applyAlignment="1" pivotButton="0" quotePrefix="0" xfId="0">
      <alignment horizontal="right"/>
    </xf>
    <xf numFmtId="0" fontId="2" fillId="0" borderId="1" applyAlignment="1" pivotButton="0" quotePrefix="1" xfId="0">
      <alignment horizontal="right"/>
    </xf>
    <xf numFmtId="0" fontId="2" fillId="0" borderId="5" applyAlignment="1" pivotButton="0" quotePrefix="1" xfId="0">
      <alignment horizontal="right"/>
    </xf>
    <xf numFmtId="0" fontId="2" fillId="0" borderId="20" pivotButton="0" quotePrefix="0" xfId="0"/>
    <xf numFmtId="0" fontId="2" fillId="2" borderId="12" applyAlignment="1" pivotButton="0" quotePrefix="0" xfId="0">
      <alignment horizontal="center"/>
    </xf>
    <xf numFmtId="0" fontId="13" fillId="0" borderId="0" applyAlignment="1" pivotButton="0" quotePrefix="0" xfId="0">
      <alignment horizontal="right"/>
    </xf>
    <xf numFmtId="0" fontId="2" fillId="0" borderId="39" pivotButton="0" quotePrefix="0" xfId="0"/>
    <xf numFmtId="0" fontId="13" fillId="0" borderId="0" applyAlignment="1" pivotButton="0" quotePrefix="0" xfId="0">
      <alignment wrapText="1"/>
    </xf>
    <xf numFmtId="0" fontId="2" fillId="0" borderId="34" applyAlignment="1" pivotButton="0" quotePrefix="0" xfId="0">
      <alignment horizontal="center" textRotation="90" wrapText="1"/>
    </xf>
    <xf numFmtId="0" fontId="2" fillId="0" borderId="28" applyAlignment="1" pivotButton="0" quotePrefix="0" xfId="0">
      <alignment horizontal="center" textRotation="90" wrapText="1"/>
    </xf>
    <xf numFmtId="0" fontId="2" fillId="0" borderId="28" applyAlignment="1" pivotButton="0" quotePrefix="0" xfId="0">
      <alignment horizontal="center" textRotation="90"/>
    </xf>
    <xf numFmtId="0" fontId="2" fillId="0" borderId="35" applyAlignment="1" pivotButton="0" quotePrefix="0" xfId="0">
      <alignment horizontal="center" textRotation="90"/>
    </xf>
    <xf numFmtId="0" fontId="2" fillId="0" borderId="36" applyAlignment="1" pivotButton="0" quotePrefix="0" xfId="0">
      <alignment horizontal="center" textRotation="90"/>
    </xf>
    <xf numFmtId="0" fontId="2" fillId="2" borderId="0" pivotButton="0" quotePrefix="0" xfId="0"/>
    <xf numFmtId="0" fontId="2" fillId="0" borderId="13" applyAlignment="1" pivotButton="0" quotePrefix="0" xfId="0">
      <alignment horizontal="center"/>
    </xf>
    <xf numFmtId="0" fontId="2" fillId="0" borderId="14" applyAlignment="1" pivotButton="0" quotePrefix="0" xfId="0">
      <alignment horizontal="center"/>
    </xf>
    <xf numFmtId="0" fontId="2" fillId="0" borderId="41" applyAlignment="1" pivotButton="0" quotePrefix="0" xfId="0">
      <alignment horizontal="center"/>
    </xf>
    <xf numFmtId="0" fontId="2" fillId="0" borderId="15" applyAlignment="1" pivotButton="0" quotePrefix="0" xfId="0">
      <alignment horizontal="center"/>
    </xf>
    <xf numFmtId="0" fontId="13" fillId="0" borderId="28" pivotButton="0" quotePrefix="0" xfId="0"/>
    <xf numFmtId="0" fontId="14" fillId="0" borderId="0" pivotButton="0" quotePrefix="0" xfId="0"/>
    <xf numFmtId="0" fontId="2" fillId="2" borderId="40" pivotButton="0" quotePrefix="0" xfId="0"/>
    <xf numFmtId="0" fontId="2" fillId="2" borderId="42" pivotButton="0" quotePrefix="0" xfId="0"/>
    <xf numFmtId="0" fontId="2" fillId="2" borderId="43" pivotButton="0" quotePrefix="0" xfId="0"/>
    <xf numFmtId="0" fontId="2" fillId="0" borderId="34" applyAlignment="1" pivotButton="0" quotePrefix="0" xfId="0">
      <alignment horizontal="center"/>
    </xf>
    <xf numFmtId="0" fontId="2" fillId="0" borderId="35" applyAlignment="1" pivotButton="0" quotePrefix="0" xfId="0">
      <alignment horizontal="center"/>
    </xf>
    <xf numFmtId="0" fontId="2" fillId="0" borderId="28" applyAlignment="1" pivotButton="0" quotePrefix="0" xfId="0">
      <alignment horizontal="center"/>
    </xf>
    <xf numFmtId="0" fontId="2" fillId="0" borderId="38" applyAlignment="1" pivotButton="0" quotePrefix="0" xfId="0">
      <alignment horizontal="center"/>
    </xf>
    <xf numFmtId="0" fontId="2" fillId="0" borderId="45" applyAlignment="1" pivotButton="0" quotePrefix="0" xfId="0">
      <alignment horizontal="center"/>
    </xf>
    <xf numFmtId="0" fontId="2" fillId="0" borderId="36" applyAlignment="1" pivotButton="0" quotePrefix="0" xfId="0">
      <alignment horizontal="center"/>
    </xf>
    <xf numFmtId="0" fontId="2" fillId="0" borderId="25" pivotButton="0" quotePrefix="0" xfId="0"/>
    <xf numFmtId="0" fontId="2" fillId="0" borderId="17" pivotButton="0" quotePrefix="0" xfId="0"/>
    <xf numFmtId="2" fontId="2" fillId="0" borderId="32" pivotButton="0" quotePrefix="0" xfId="0"/>
    <xf numFmtId="1" fontId="2" fillId="0" borderId="24" applyAlignment="1" pivotButton="0" quotePrefix="0" xfId="0">
      <alignment horizontal="center"/>
    </xf>
    <xf numFmtId="1" fontId="2" fillId="0" borderId="20" applyAlignment="1" pivotButton="0" quotePrefix="0" xfId="0">
      <alignment horizontal="center"/>
    </xf>
    <xf numFmtId="1" fontId="2" fillId="0" borderId="20" applyAlignment="1" pivotButton="0" quotePrefix="1" xfId="0">
      <alignment horizontal="center"/>
    </xf>
    <xf numFmtId="1" fontId="2" fillId="0" borderId="22" applyAlignment="1" pivotButton="0" quotePrefix="0" xfId="0">
      <alignment horizontal="center"/>
    </xf>
    <xf numFmtId="0" fontId="2" fillId="0" borderId="2" applyAlignment="1" pivotButton="0" quotePrefix="0" xfId="0">
      <alignment horizontal="center"/>
    </xf>
    <xf numFmtId="0" fontId="2" fillId="0" borderId="3" applyAlignment="1" pivotButton="0" quotePrefix="0" xfId="0">
      <alignment horizontal="center"/>
    </xf>
    <xf numFmtId="0" fontId="2" fillId="0" borderId="46" applyAlignment="1" pivotButton="0" quotePrefix="0" xfId="0">
      <alignment horizontal="center"/>
    </xf>
    <xf numFmtId="164" fontId="2" fillId="0" borderId="2" pivotButton="0" quotePrefix="0" xfId="0"/>
    <xf numFmtId="164" fontId="2" fillId="0" borderId="3" pivotButton="0" quotePrefix="0" xfId="0"/>
    <xf numFmtId="164" fontId="2" fillId="0" borderId="4" pivotButton="0" quotePrefix="0" xfId="0"/>
    <xf numFmtId="0" fontId="2" fillId="0" borderId="27" pivotButton="0" quotePrefix="0" xfId="0"/>
    <xf numFmtId="0" fontId="2" fillId="0" borderId="31" pivotButton="0" quotePrefix="0" xfId="0"/>
    <xf numFmtId="2" fontId="2" fillId="0" borderId="33" pivotButton="0" quotePrefix="0" xfId="0"/>
    <xf numFmtId="1" fontId="2" fillId="0" borderId="5" applyAlignment="1" pivotButton="0" quotePrefix="0" xfId="0">
      <alignment horizontal="center"/>
    </xf>
    <xf numFmtId="1" fontId="2" fillId="0" borderId="1" applyAlignment="1" pivotButton="0" quotePrefix="0" xfId="0">
      <alignment horizontal="center"/>
    </xf>
    <xf numFmtId="1" fontId="2" fillId="0" borderId="27" applyAlignment="1" pivotButton="0" quotePrefix="0" xfId="0">
      <alignment horizontal="center"/>
    </xf>
    <xf numFmtId="0" fontId="2" fillId="0" borderId="5" applyAlignment="1" pivotButton="0" quotePrefix="0" xfId="0">
      <alignment horizontal="center"/>
    </xf>
    <xf numFmtId="0" fontId="2" fillId="0" borderId="1" applyAlignment="1" pivotButton="0" quotePrefix="0" xfId="0">
      <alignment horizontal="center"/>
    </xf>
    <xf numFmtId="0" fontId="2" fillId="0" borderId="27" applyAlignment="1" pivotButton="0" quotePrefix="0" xfId="0">
      <alignment horizontal="center"/>
    </xf>
    <xf numFmtId="164" fontId="2" fillId="0" borderId="5" pivotButton="0" quotePrefix="0" xfId="0"/>
    <xf numFmtId="164" fontId="2" fillId="0" borderId="1" pivotButton="0" quotePrefix="0" xfId="0"/>
    <xf numFmtId="164" fontId="2" fillId="0" borderId="6" pivotButton="0" quotePrefix="0" xfId="0"/>
    <xf numFmtId="0" fontId="2" fillId="0" borderId="29" pivotButton="0" quotePrefix="0" xfId="0"/>
    <xf numFmtId="0" fontId="2" fillId="0" borderId="18" pivotButton="0" quotePrefix="0" xfId="0"/>
    <xf numFmtId="0" fontId="2" fillId="0" borderId="30" pivotButton="0" quotePrefix="0" xfId="0"/>
    <xf numFmtId="0" fontId="2" fillId="0" borderId="37" pivotButton="0" quotePrefix="0" xfId="0"/>
    <xf numFmtId="2" fontId="2" fillId="0" borderId="38" pivotButton="0" quotePrefix="0" xfId="0"/>
    <xf numFmtId="1" fontId="2" fillId="0" borderId="34" applyAlignment="1" pivotButton="0" quotePrefix="0" xfId="0">
      <alignment horizontal="center"/>
    </xf>
    <xf numFmtId="1" fontId="2" fillId="0" borderId="28" applyAlignment="1" pivotButton="0" quotePrefix="0" xfId="0">
      <alignment horizontal="center"/>
    </xf>
    <xf numFmtId="1" fontId="2" fillId="0" borderId="45" applyAlignment="1" pivotButton="0" quotePrefix="0" xfId="0">
      <alignment horizontal="center"/>
    </xf>
    <xf numFmtId="0" fontId="2" fillId="0" borderId="7" applyAlignment="1" pivotButton="0" quotePrefix="0" xfId="0">
      <alignment horizontal="center"/>
    </xf>
    <xf numFmtId="0" fontId="2" fillId="0" borderId="8" applyAlignment="1" pivotButton="0" quotePrefix="0" xfId="0">
      <alignment horizontal="center"/>
    </xf>
    <xf numFmtId="0" fontId="2" fillId="0" borderId="44" applyAlignment="1" pivotButton="0" quotePrefix="0" xfId="0">
      <alignment horizontal="center"/>
    </xf>
    <xf numFmtId="164" fontId="2" fillId="0" borderId="7" pivotButton="0" quotePrefix="0" xfId="0"/>
    <xf numFmtId="164" fontId="2" fillId="0" borderId="8" pivotButton="0" quotePrefix="0" xfId="0"/>
    <xf numFmtId="164" fontId="2" fillId="0" borderId="9" pivotButton="0" quotePrefix="0" xfId="0"/>
    <xf numFmtId="0" fontId="10" fillId="0" borderId="3" pivotButton="0" quotePrefix="0" xfId="0"/>
    <xf numFmtId="0" fontId="10" fillId="0" borderId="4" applyAlignment="1" pivotButton="0" quotePrefix="0" xfId="0">
      <alignment wrapText="1"/>
    </xf>
    <xf numFmtId="164" fontId="10" fillId="0" borderId="0" pivotButton="0" quotePrefix="0" xfId="0"/>
    <xf numFmtId="0" fontId="13" fillId="0" borderId="0" applyAlignment="1" pivotButton="0" quotePrefix="0" xfId="0">
      <alignment horizontal="left"/>
    </xf>
    <xf numFmtId="2" fontId="2" fillId="0" borderId="1" pivotButton="0" quotePrefix="0" xfId="0"/>
    <xf numFmtId="0" fontId="2" fillId="0" borderId="6" pivotButton="0" quotePrefix="0" xfId="0"/>
    <xf numFmtId="0" fontId="10" fillId="0" borderId="1" pivotButton="0" quotePrefix="0" xfId="0"/>
    <xf numFmtId="0" fontId="10" fillId="0" borderId="6" pivotButton="0" quotePrefix="0" xfId="0"/>
    <xf numFmtId="1" fontId="2" fillId="0" borderId="1" pivotButton="0" quotePrefix="0" xfId="1"/>
    <xf numFmtId="1" fontId="2" fillId="0" borderId="6" pivotButton="0" quotePrefix="0" xfId="1"/>
    <xf numFmtId="1" fontId="2" fillId="0" borderId="1" pivotButton="0" quotePrefix="0" xfId="0"/>
    <xf numFmtId="1" fontId="2" fillId="0" borderId="6" pivotButton="0" quotePrefix="0" xfId="0"/>
    <xf numFmtId="0" fontId="2" fillId="0" borderId="8" pivotButton="0" quotePrefix="0" xfId="0"/>
    <xf numFmtId="0" fontId="2" fillId="0" borderId="9" pivotButton="0" quotePrefix="0" xfId="0"/>
    <xf numFmtId="0" fontId="1" fillId="0" borderId="29" pivotButton="0" quotePrefix="0" xfId="0"/>
    <xf numFmtId="0" fontId="5" fillId="0" borderId="5" applyAlignment="1" pivotButton="0" quotePrefix="0" xfId="0">
      <alignment horizontal="left"/>
    </xf>
    <xf numFmtId="0" fontId="5" fillId="0" borderId="1" applyAlignment="1" pivotButton="0" quotePrefix="0" xfId="0">
      <alignment horizontal="left"/>
    </xf>
    <xf numFmtId="0" fontId="5" fillId="0" borderId="29" applyAlignment="1" pivotButton="0" quotePrefix="0" xfId="0">
      <alignment horizontal="left"/>
    </xf>
    <xf numFmtId="0" fontId="5" fillId="0" borderId="21" applyAlignment="1" pivotButton="0" quotePrefix="0" xfId="0">
      <alignment horizontal="left"/>
    </xf>
    <xf numFmtId="0" fontId="5" fillId="0" borderId="7" applyAlignment="1" pivotButton="0" quotePrefix="0" xfId="0">
      <alignment horizontal="left"/>
    </xf>
    <xf numFmtId="0" fontId="5" fillId="0" borderId="8" applyAlignment="1" pivotButton="0" quotePrefix="0" xfId="0">
      <alignment horizontal="left"/>
    </xf>
    <xf numFmtId="0" fontId="5" fillId="0" borderId="2" applyAlignment="1" pivotButton="0" quotePrefix="0" xfId="0">
      <alignment horizontal="left"/>
    </xf>
    <xf numFmtId="0" fontId="5" fillId="0" borderId="3" applyAlignment="1" pivotButton="0" quotePrefix="0" xfId="0">
      <alignment horizontal="left"/>
    </xf>
    <xf numFmtId="0" fontId="7" fillId="0" borderId="5" applyAlignment="1" pivotButton="0" quotePrefix="0" xfId="0">
      <alignment horizontal="left"/>
    </xf>
    <xf numFmtId="0" fontId="7" fillId="0" borderId="1" applyAlignment="1" pivotButton="0" quotePrefix="0" xfId="0">
      <alignment horizontal="left"/>
    </xf>
    <xf numFmtId="0" fontId="7" fillId="0" borderId="10" applyAlignment="1" pivotButton="0" quotePrefix="0" xfId="0">
      <alignment horizontal="center"/>
    </xf>
    <xf numFmtId="0" fontId="7" fillId="0" borderId="11" applyAlignment="1" pivotButton="0" quotePrefix="0" xfId="0">
      <alignment horizontal="center"/>
    </xf>
    <xf numFmtId="0" fontId="7" fillId="0" borderId="12" applyAlignment="1" pivotButton="0" quotePrefix="0" xfId="0">
      <alignment horizontal="center"/>
    </xf>
    <xf numFmtId="0" fontId="5" fillId="0" borderId="0" applyAlignment="1" pivotButton="0" quotePrefix="0" xfId="0">
      <alignment horizontal="left"/>
    </xf>
    <xf numFmtId="0" fontId="7" fillId="0" borderId="26" applyAlignment="1" pivotButton="0" quotePrefix="0" xfId="0">
      <alignment horizontal="center"/>
    </xf>
    <xf numFmtId="0" fontId="2" fillId="0" borderId="5" applyAlignment="1" pivotButton="0" quotePrefix="0" xfId="0">
      <alignment horizontal="left"/>
    </xf>
    <xf numFmtId="0" fontId="2" fillId="0" borderId="1" applyAlignment="1" pivotButton="0" quotePrefix="0" xfId="0">
      <alignment horizontal="left"/>
    </xf>
    <xf numFmtId="0" fontId="2" fillId="0" borderId="29" applyAlignment="1" pivotButton="0" quotePrefix="0" xfId="0">
      <alignment horizontal="left"/>
    </xf>
    <xf numFmtId="0" fontId="2" fillId="0" borderId="21" applyAlignment="1" pivotButton="0" quotePrefix="0" xfId="0">
      <alignment horizontal="left"/>
    </xf>
    <xf numFmtId="0" fontId="10" fillId="0" borderId="5" applyAlignment="1" pivotButton="0" quotePrefix="0" xfId="0">
      <alignment horizontal="left"/>
    </xf>
    <xf numFmtId="0" fontId="10" fillId="0" borderId="1" applyAlignment="1" pivotButton="0" quotePrefix="0" xfId="0">
      <alignment horizontal="left"/>
    </xf>
    <xf numFmtId="0" fontId="2" fillId="0" borderId="7" applyAlignment="1" pivotButton="0" quotePrefix="0" xfId="0">
      <alignment horizontal="left"/>
    </xf>
    <xf numFmtId="0" fontId="2" fillId="0" borderId="8" applyAlignment="1" pivotButton="0" quotePrefix="0" xfId="0">
      <alignment horizontal="left"/>
    </xf>
    <xf numFmtId="0" fontId="1" fillId="0" borderId="5" applyAlignment="1" pivotButton="0" quotePrefix="0" xfId="0">
      <alignment horizontal="left"/>
    </xf>
    <xf numFmtId="0" fontId="2" fillId="0" borderId="2" applyAlignment="1" pivotButton="0" quotePrefix="0" xfId="0">
      <alignment horizontal="left"/>
    </xf>
    <xf numFmtId="0" fontId="2" fillId="0" borderId="3" applyAlignment="1" pivotButton="0" quotePrefix="0" xfId="0">
      <alignment horizontal="left"/>
    </xf>
    <xf numFmtId="0" fontId="2" fillId="0" borderId="0" applyAlignment="1" pivotButton="0" quotePrefix="0" xfId="0">
      <alignment horizontal="left"/>
    </xf>
    <xf numFmtId="0" fontId="10" fillId="0" borderId="26" applyAlignment="1" pivotButton="0" quotePrefix="0" xfId="0">
      <alignment horizontal="center"/>
    </xf>
    <xf numFmtId="0" fontId="10" fillId="0" borderId="10" applyAlignment="1" pivotButton="0" quotePrefix="0" xfId="0">
      <alignment horizontal="center"/>
    </xf>
    <xf numFmtId="0" fontId="10" fillId="0" borderId="11" applyAlignment="1" pivotButton="0" quotePrefix="0" xfId="0">
      <alignment horizontal="center"/>
    </xf>
    <xf numFmtId="0" fontId="10" fillId="0" borderId="12" applyAlignment="1" pivotButton="0" quotePrefix="0" xfId="0">
      <alignment horizontal="center"/>
    </xf>
    <xf numFmtId="0" fontId="5" fillId="0" borderId="23" applyAlignment="1" pivotButton="0" quotePrefix="0" xfId="0">
      <alignment textRotation="90"/>
    </xf>
    <xf numFmtId="0" fontId="7" fillId="0" borderId="48" applyAlignment="1" pivotButton="0" quotePrefix="0" xfId="0">
      <alignment horizontal="center"/>
    </xf>
    <xf numFmtId="0" fontId="0" fillId="0" borderId="11" pivotButton="0" quotePrefix="0" xfId="0"/>
    <xf numFmtId="0" fontId="0" fillId="0" borderId="12" pivotButton="0" quotePrefix="0" xfId="0"/>
    <xf numFmtId="0" fontId="0" fillId="0" borderId="26" pivotButton="0" quotePrefix="0" xfId="0"/>
    <xf numFmtId="0" fontId="0" fillId="0" borderId="51" pivotButton="0" quotePrefix="0" xfId="0"/>
    <xf numFmtId="0" fontId="0" fillId="0" borderId="21" pivotButton="0" quotePrefix="0" xfId="0"/>
    <xf numFmtId="0" fontId="0" fillId="0" borderId="49" pivotButton="0" quotePrefix="0" xfId="0"/>
    <xf numFmtId="0" fontId="10" fillId="0" borderId="48" applyAlignment="1" pivotButton="0" quotePrefix="0" xfId="0">
      <alignment horizontal="center"/>
    </xf>
  </cellXfs>
  <cellStyles count="3">
    <cellStyle name="Normal" xfId="0" builtinId="0"/>
    <cellStyle name="Percent" xfId="1" builtinId="5"/>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Microsoft Office User</author>
  </authors>
  <commentList>
    <comment ref="O45" authorId="0" shapeId="0">
      <text>
        <t>Microsoft Office User:
See values in table U4 below</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6</row>
      <rowOff>34940</rowOff>
    </from>
    <to>
      <col>0</col>
      <colOff>5801563</colOff>
      <row>6</row>
      <rowOff>3746500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3641740"/>
          <a:ext cx="5801563" cy="371156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N62"/>
  <sheetViews>
    <sheetView tabSelected="1" topLeftCell="A2" zoomScale="65" zoomScaleNormal="80" zoomScalePageLayoutView="80" workbookViewId="0">
      <selection activeCell="T30" sqref="T30"/>
    </sheetView>
  </sheetViews>
  <sheetFormatPr baseColWidth="10" defaultColWidth="8.83203125" defaultRowHeight="16"/>
  <cols>
    <col width="8.83203125" customWidth="1" style="3" min="1" max="1"/>
    <col width="52.6640625" customWidth="1" style="3" min="2" max="2"/>
    <col width="33" customWidth="1" style="3" min="3" max="3"/>
    <col width="13.1640625" customWidth="1" style="3" min="4" max="4"/>
    <col width="4.6640625" customWidth="1" style="3" min="5" max="18"/>
    <col width="5.5" customWidth="1" style="3" min="19" max="19"/>
    <col width="4.6640625" customWidth="1" style="3" min="20" max="20"/>
    <col width="5.5" customWidth="1" style="3" min="21" max="21"/>
    <col width="4.6640625" customWidth="1" style="3" min="22" max="27"/>
    <col width="6.6640625" customWidth="1" style="3" min="28" max="28"/>
    <col width="6.83203125" customWidth="1" style="3" min="29" max="29"/>
    <col width="4.6640625" customWidth="1" style="3" min="30" max="30"/>
    <col width="8.83203125" customWidth="1" style="3" min="31" max="38"/>
    <col width="10.5" customWidth="1" style="3" min="39" max="39"/>
    <col width="8.83203125" customWidth="1" style="3" min="40" max="16384"/>
  </cols>
  <sheetData>
    <row r="1">
      <c r="B1" s="9" t="inlineStr">
        <is>
          <t>Project Title</t>
        </is>
      </c>
    </row>
    <row r="2" ht="17" customHeight="1" thickBot="1">
      <c r="A2" s="10" t="inlineStr">
        <is>
          <t xml:space="preserve"> </t>
        </is>
      </c>
      <c r="B2" s="226" t="inlineStr">
        <is>
          <t>Product Helper — AI PM Assistant</t>
        </is>
      </c>
      <c r="AN2" s="9" t="n"/>
    </row>
    <row r="3" ht="17" customHeight="1" thickBot="1">
      <c r="B3" s="9" t="inlineStr">
        <is>
          <t>Developed by</t>
        </is>
      </c>
      <c r="D3" s="3" t="n">
        <v>1</v>
      </c>
      <c r="E3" s="11" t="n"/>
      <c r="F3" s="244" t="inlineStr">
        <is>
          <t>P95 end-to-end latency (ms)</t>
        </is>
      </c>
      <c r="AM3" s="13" t="n"/>
    </row>
    <row r="4" ht="17" customHeight="1" thickBot="1">
      <c r="B4" s="226" t="inlineStr">
        <is>
          <t>David Ancor</t>
        </is>
      </c>
      <c r="D4" s="3">
        <f>D3+1</f>
        <v/>
      </c>
      <c r="E4" s="14" t="n">
        <v>-1</v>
      </c>
      <c r="F4" s="15" t="n"/>
      <c r="G4" s="244" t="inlineStr">
        <is>
          <t>LLM output accuracy (eval score 0-1)</t>
        </is>
      </c>
      <c r="AM4" s="13" t="n"/>
    </row>
    <row r="5" ht="17" customHeight="1" thickBot="1">
      <c r="B5" s="9" t="inlineStr">
        <is>
          <t>Last Updated</t>
        </is>
      </c>
      <c r="D5" s="3">
        <f>D4+1</f>
        <v/>
      </c>
      <c r="E5" s="14" t="n">
        <v>-1</v>
      </c>
      <c r="F5" s="16" t="n"/>
      <c r="G5" s="15" t="n"/>
      <c r="H5" s="244" t="inlineStr">
        <is>
          <t>Concurrent active users</t>
        </is>
      </c>
      <c r="AM5" s="17" t="n"/>
    </row>
    <row r="6" ht="17" customHeight="1" thickBot="1">
      <c r="B6" s="18" t="n">
        <v>46131</v>
      </c>
      <c r="D6" s="3">
        <f>D5+1</f>
        <v/>
      </c>
      <c r="E6" s="14" t="n"/>
      <c r="F6" s="19" t="n"/>
      <c r="G6" s="16" t="n"/>
      <c r="H6" s="15" t="n"/>
      <c r="I6" s="244" t="inlineStr">
        <is>
          <t>Third-party integrations (count)</t>
        </is>
      </c>
      <c r="AM6" s="17" t="n"/>
    </row>
    <row r="7" ht="17" customHeight="1" thickBot="1">
      <c r="B7" s="9" t="n"/>
      <c r="D7" s="3">
        <f>D6+1</f>
        <v/>
      </c>
      <c r="E7" s="14" t="n"/>
      <c r="F7" s="20" t="n"/>
      <c r="G7" s="19" t="n"/>
      <c r="H7" s="16" t="n"/>
      <c r="I7" s="15" t="n"/>
      <c r="J7" s="244" t="inlineStr">
        <is>
          <t>Security/compliance certs (count)</t>
        </is>
      </c>
      <c r="AM7" s="17" t="n"/>
    </row>
    <row r="8" ht="17" customHeight="1" thickBot="1">
      <c r="B8" s="9" t="n"/>
      <c r="D8" s="3">
        <f>D7+1</f>
        <v/>
      </c>
      <c r="E8" s="14" t="n"/>
      <c r="F8" s="20" t="n"/>
      <c r="G8" s="20" t="n">
        <v>1</v>
      </c>
      <c r="H8" s="19" t="n">
        <v>-1</v>
      </c>
      <c r="I8" s="16" t="n"/>
      <c r="J8" s="21" t="n"/>
      <c r="K8" s="244" t="inlineStr">
        <is>
          <t>Uptime SLO (%)</t>
        </is>
      </c>
      <c r="AM8" s="17" t="n"/>
    </row>
    <row r="9" ht="17" customHeight="1" thickBot="1">
      <c r="B9" s="9" t="n"/>
      <c r="D9" s="3">
        <f>D8+1</f>
        <v/>
      </c>
      <c r="E9" s="14" t="n"/>
      <c r="F9" s="20" t="n">
        <v>2</v>
      </c>
      <c r="G9" s="20" t="n"/>
      <c r="H9" s="19" t="n"/>
      <c r="I9" s="16" t="n"/>
      <c r="J9" s="22" t="n"/>
      <c r="K9" s="15" t="n"/>
      <c r="L9" s="244" t="inlineStr">
        <is>
          <t>Theme extraction F1 (0-1)</t>
        </is>
      </c>
      <c r="AM9" s="17" t="n"/>
    </row>
    <row r="10" ht="17" customHeight="1" thickBot="1">
      <c r="B10" s="9" t="inlineStr">
        <is>
          <t>Relationships</t>
        </is>
      </c>
      <c r="D10" s="3">
        <f>D9+1</f>
        <v/>
      </c>
      <c r="E10" s="14" t="n"/>
      <c r="F10" s="20" t="n">
        <v>1</v>
      </c>
      <c r="G10" s="20" t="n"/>
      <c r="H10" s="19" t="n"/>
      <c r="I10" s="16" t="n"/>
      <c r="J10" s="22" t="n"/>
      <c r="K10" s="19" t="n"/>
      <c r="L10" s="15" t="n"/>
      <c r="M10" s="244" t="inlineStr">
        <is>
          <t>Explainability tier (1-5)</t>
        </is>
      </c>
      <c r="AM10" s="17" t="n"/>
    </row>
    <row r="11" ht="17" customHeight="1" thickBot="1">
      <c r="A11" s="13" t="inlineStr">
        <is>
          <t>+ +</t>
        </is>
      </c>
      <c r="B11" s="3" t="inlineStr">
        <is>
          <t>Strong Positive</t>
        </is>
      </c>
      <c r="D11" s="3">
        <f>D10+1</f>
        <v/>
      </c>
      <c r="E11" s="14" t="n"/>
      <c r="F11" s="20" t="n"/>
      <c r="G11" s="20" t="n"/>
      <c r="H11" s="19" t="n"/>
      <c r="I11" s="16" t="n"/>
      <c r="J11" s="22" t="n"/>
      <c r="K11" s="19" t="n"/>
      <c r="L11" s="19" t="n"/>
      <c r="M11" s="15" t="n"/>
      <c r="N11" s="244" t="inlineStr">
        <is>
          <t>Template variables supported (count)</t>
        </is>
      </c>
      <c r="AM11" s="17" t="n"/>
    </row>
    <row r="12" ht="17" customHeight="1" thickBot="1">
      <c r="A12" s="13" t="inlineStr">
        <is>
          <t>+</t>
        </is>
      </c>
      <c r="B12" s="3" t="inlineStr">
        <is>
          <t>Positive</t>
        </is>
      </c>
      <c r="D12" s="3">
        <f>D11+1</f>
        <v/>
      </c>
      <c r="E12" s="14" t="n"/>
      <c r="F12" s="20" t="n"/>
      <c r="G12" s="20" t="n">
        <v>-1</v>
      </c>
      <c r="H12" s="19" t="n"/>
      <c r="I12" s="16" t="n"/>
      <c r="J12" s="23" t="n"/>
      <c r="K12" s="16" t="n"/>
      <c r="L12" s="16" t="n"/>
      <c r="M12" s="16" t="n"/>
      <c r="N12" s="21" t="n"/>
      <c r="O12" s="244" t="inlineStr">
        <is>
          <t>Real-time collab sync latency (ms)</t>
        </is>
      </c>
      <c r="AM12" s="17" t="n"/>
    </row>
    <row r="13" ht="17" customHeight="1" thickBot="1">
      <c r="A13" s="17" t="n"/>
      <c r="B13" s="3" t="inlineStr">
        <is>
          <t>Neutral, Not Applicable</t>
        </is>
      </c>
      <c r="D13" s="3">
        <f>D12+1</f>
        <v/>
      </c>
      <c r="E13" s="24" t="n">
        <v>-1</v>
      </c>
      <c r="F13" s="20" t="n">
        <v>-2</v>
      </c>
      <c r="G13" s="20" t="n">
        <v>-1</v>
      </c>
      <c r="H13" s="19" t="n"/>
      <c r="I13" s="16" t="n">
        <v>-1</v>
      </c>
      <c r="J13" s="19" t="n"/>
      <c r="K13" s="19" t="n"/>
      <c r="L13" s="19" t="n">
        <v>-1</v>
      </c>
      <c r="M13" s="19" t="n"/>
      <c r="N13" s="19" t="n"/>
      <c r="O13" s="25" t="n"/>
      <c r="P13" s="244" t="inlineStr">
        <is>
          <t>Cost per user per month ($)</t>
        </is>
      </c>
      <c r="AM13" s="17" t="n"/>
    </row>
    <row r="14" ht="17" customHeight="1" thickBot="1">
      <c r="A14" s="17" t="inlineStr">
        <is>
          <t>x</t>
        </is>
      </c>
      <c r="B14" s="3" t="inlineStr">
        <is>
          <t>Negative</t>
        </is>
      </c>
      <c r="D14" s="3">
        <f>D13+1</f>
        <v/>
      </c>
      <c r="E14" s="24" t="n"/>
      <c r="F14" s="20" t="n"/>
      <c r="G14" s="20" t="n"/>
      <c r="H14" s="19" t="n"/>
      <c r="I14" s="16" t="n">
        <v>-1</v>
      </c>
      <c r="J14" s="20" t="n"/>
      <c r="K14" s="20" t="n"/>
      <c r="L14" s="20" t="n"/>
      <c r="M14" s="20" t="n"/>
      <c r="N14" s="20" t="n"/>
      <c r="O14" s="22" t="n"/>
      <c r="P14" s="15" t="n"/>
      <c r="Q14" s="244" t="inlineStr">
        <is>
          <t>Onboarding time to first value (min)</t>
        </is>
      </c>
      <c r="AM14" s="17" t="n"/>
    </row>
    <row r="15" ht="17" customHeight="1" thickBot="1">
      <c r="A15" s="17" t="inlineStr">
        <is>
          <t>x x</t>
        </is>
      </c>
      <c r="B15" s="3" t="inlineStr">
        <is>
          <t>Strong Negative</t>
        </is>
      </c>
      <c r="D15" s="3">
        <f>D14+1</f>
        <v/>
      </c>
      <c r="E15" s="24" t="n"/>
      <c r="F15" s="20" t="n"/>
      <c r="G15" s="20" t="n"/>
      <c r="H15" s="19" t="n"/>
      <c r="I15" s="16" t="n"/>
      <c r="J15" s="20" t="n"/>
      <c r="K15" s="20" t="n"/>
      <c r="L15" s="20" t="n"/>
      <c r="M15" s="20" t="n"/>
      <c r="N15" s="20" t="n"/>
      <c r="O15" s="22" t="n"/>
      <c r="P15" s="19" t="n"/>
      <c r="Q15" s="15" t="n"/>
      <c r="R15" s="12" t="n"/>
      <c r="AM15" s="17" t="n"/>
    </row>
    <row r="16" ht="17" customHeight="1" thickBot="1">
      <c r="B16" s="9" t="n"/>
      <c r="D16" s="3">
        <f>D15+1</f>
        <v/>
      </c>
      <c r="E16" s="24" t="n"/>
      <c r="F16" s="20" t="n"/>
      <c r="G16" s="20" t="n"/>
      <c r="H16" s="20" t="n"/>
      <c r="I16" s="19" t="n"/>
      <c r="J16" s="19" t="n"/>
      <c r="K16" s="19" t="n"/>
      <c r="L16" s="19" t="n"/>
      <c r="M16" s="26" t="n"/>
      <c r="N16" s="19" t="n"/>
      <c r="O16" s="22" t="n"/>
      <c r="P16" s="19" t="n"/>
      <c r="Q16" s="19" t="n"/>
      <c r="R16" s="15" t="n"/>
      <c r="S16" s="12" t="n"/>
      <c r="AM16" s="17" t="n"/>
    </row>
    <row r="17" ht="17" customHeight="1" thickBot="1">
      <c r="B17" s="9" t="n"/>
      <c r="D17" s="3">
        <f>D16+1</f>
        <v/>
      </c>
      <c r="E17" s="14" t="n"/>
      <c r="F17" s="20" t="n"/>
      <c r="G17" s="20" t="n"/>
      <c r="H17" s="20" t="n"/>
      <c r="I17" s="20" t="n"/>
      <c r="J17" s="20" t="n"/>
      <c r="K17" s="20" t="n"/>
      <c r="L17" s="20" t="n"/>
      <c r="M17" s="20" t="n"/>
      <c r="N17" s="20" t="n"/>
      <c r="O17" s="23" t="n"/>
      <c r="P17" s="16" t="n"/>
      <c r="Q17" s="16" t="n"/>
      <c r="R17" s="16" t="n"/>
      <c r="S17" s="21" t="n"/>
      <c r="T17" s="12" t="n"/>
      <c r="AM17" s="17" t="n"/>
    </row>
    <row r="18" ht="17" customHeight="1" thickBot="1">
      <c r="B18" s="9" t="n"/>
      <c r="D18" s="3">
        <f>D17+1</f>
        <v/>
      </c>
      <c r="E18" s="14" t="n"/>
      <c r="F18" s="27" t="n"/>
      <c r="G18" s="20" t="n"/>
      <c r="H18" s="20" t="n"/>
      <c r="I18" s="20" t="n"/>
      <c r="J18" s="20" t="n"/>
      <c r="K18" s="20" t="n"/>
      <c r="L18" s="20" t="n"/>
      <c r="M18" s="20" t="n"/>
      <c r="N18" s="20" t="n"/>
      <c r="O18" s="19" t="n"/>
      <c r="P18" s="19" t="n"/>
      <c r="Q18" s="19" t="n"/>
      <c r="R18" s="19" t="n"/>
      <c r="S18" s="19" t="n"/>
      <c r="T18" s="15" t="n"/>
      <c r="U18" s="12" t="n"/>
      <c r="AM18" s="17" t="n"/>
    </row>
    <row r="19" ht="17" customHeight="1" thickBot="1">
      <c r="B19" s="226" t="n"/>
      <c r="D19" s="3">
        <f>D18+1</f>
        <v/>
      </c>
      <c r="E19" s="14" t="n"/>
      <c r="F19" s="22" t="n"/>
      <c r="G19" s="28" t="n"/>
      <c r="H19" s="20" t="n"/>
      <c r="I19" s="20" t="n"/>
      <c r="J19" s="20" t="n"/>
      <c r="K19" s="20" t="n"/>
      <c r="L19" s="20" t="n"/>
      <c r="M19" s="20" t="n"/>
      <c r="N19" s="20" t="n"/>
      <c r="O19" s="20" t="n"/>
      <c r="P19" s="20" t="n"/>
      <c r="Q19" s="20" t="n"/>
      <c r="R19" s="20" t="n"/>
      <c r="S19" s="20" t="n"/>
      <c r="T19" s="16" t="n"/>
      <c r="U19" s="21" t="n"/>
      <c r="V19" s="12" t="n"/>
    </row>
    <row r="20" ht="17" customHeight="1" thickBot="1">
      <c r="D20" s="3">
        <f>D19+1</f>
        <v/>
      </c>
      <c r="E20" s="14" t="n"/>
      <c r="F20" s="22" t="n"/>
      <c r="G20" s="22" t="n"/>
      <c r="H20" s="22" t="n"/>
      <c r="I20" s="20" t="n"/>
      <c r="J20" s="20" t="n"/>
      <c r="K20" s="20" t="n"/>
      <c r="L20" s="20" t="n"/>
      <c r="M20" s="20" t="n"/>
      <c r="N20" s="20" t="n"/>
      <c r="O20" s="20" t="n"/>
      <c r="P20" s="20" t="n"/>
      <c r="Q20" s="20" t="n"/>
      <c r="R20" s="20" t="n"/>
      <c r="S20" s="20" t="n"/>
      <c r="T20" s="19" t="n"/>
      <c r="U20" s="22" t="n"/>
      <c r="V20" s="15" t="n"/>
      <c r="W20" s="12" t="n"/>
    </row>
    <row r="21" ht="17" customHeight="1" thickBot="1">
      <c r="D21" s="3">
        <f>D20+1</f>
        <v/>
      </c>
      <c r="E21" s="29" t="n"/>
      <c r="F21" s="23" t="n"/>
      <c r="G21" s="23" t="n"/>
      <c r="H21" s="23" t="n"/>
      <c r="I21" s="23" t="n"/>
      <c r="J21" s="23" t="n"/>
      <c r="K21" s="23" t="n"/>
      <c r="L21" s="23" t="n"/>
      <c r="M21" s="23" t="n"/>
      <c r="N21" s="23" t="n"/>
      <c r="O21" s="23" t="n"/>
      <c r="P21" s="23" t="n"/>
      <c r="Q21" s="23" t="n"/>
      <c r="R21" s="23" t="n"/>
      <c r="S21" s="23" t="n"/>
      <c r="T21" s="16" t="n"/>
      <c r="U21" s="16" t="n"/>
      <c r="V21" s="16" t="n"/>
      <c r="W21" s="21" t="n"/>
      <c r="X21" s="12" t="n"/>
    </row>
    <row r="22" ht="17" customHeight="1" thickBot="1">
      <c r="D22" s="3">
        <f>D21+1</f>
        <v/>
      </c>
      <c r="E22" s="14" t="n"/>
      <c r="F22" s="19" t="n"/>
      <c r="G22" s="19" t="n"/>
      <c r="H22" s="19" t="n"/>
      <c r="I22" s="19" t="n"/>
      <c r="J22" s="19" t="n"/>
      <c r="K22" s="19" t="n"/>
      <c r="L22" s="19" t="n"/>
      <c r="M22" s="19" t="n"/>
      <c r="N22" s="19" t="n"/>
      <c r="O22" s="19" t="n"/>
      <c r="P22" s="19" t="n"/>
      <c r="Q22" s="19" t="n"/>
      <c r="R22" s="19" t="n"/>
      <c r="S22" s="19" t="n"/>
      <c r="T22" s="19" t="n"/>
      <c r="U22" s="19" t="n"/>
      <c r="V22" s="19" t="n"/>
      <c r="W22" s="19" t="n"/>
      <c r="X22" s="15" t="n"/>
      <c r="Y22" s="12" t="n"/>
    </row>
    <row r="23" ht="17" customHeight="1" thickBot="1">
      <c r="D23" s="3">
        <f>D22+1</f>
        <v/>
      </c>
      <c r="E23" s="30" t="n"/>
      <c r="F23" s="20" t="n"/>
      <c r="G23" s="20" t="n"/>
      <c r="H23" s="20" t="n"/>
      <c r="I23" s="20" t="n"/>
      <c r="J23" s="20" t="n"/>
      <c r="K23" s="20" t="n"/>
      <c r="L23" s="20" t="n"/>
      <c r="M23" s="20" t="n"/>
      <c r="N23" s="20" t="n"/>
      <c r="O23" s="20" t="n"/>
      <c r="P23" s="20" t="n"/>
      <c r="Q23" s="20" t="n"/>
      <c r="R23" s="20" t="n"/>
      <c r="S23" s="20" t="n"/>
      <c r="T23" s="20" t="n"/>
      <c r="U23" s="20" t="n"/>
      <c r="V23" s="20" t="n"/>
      <c r="W23" s="20" t="n"/>
      <c r="X23" s="16" t="n"/>
      <c r="Y23" s="21" t="n"/>
      <c r="Z23" s="12" t="n"/>
    </row>
    <row r="24" ht="17" customHeight="1" thickBot="1">
      <c r="D24" s="3">
        <f>D23+1</f>
        <v/>
      </c>
      <c r="E24" s="30" t="n"/>
      <c r="F24" s="20" t="n"/>
      <c r="G24" s="20" t="n"/>
      <c r="H24" s="20" t="n"/>
      <c r="I24" s="20" t="n"/>
      <c r="J24" s="20" t="n"/>
      <c r="K24" s="20" t="n"/>
      <c r="L24" s="20" t="n"/>
      <c r="M24" s="20" t="n"/>
      <c r="N24" s="20" t="n"/>
      <c r="O24" s="20" t="n"/>
      <c r="P24" s="20" t="n"/>
      <c r="Q24" s="20" t="n"/>
      <c r="R24" s="20" t="n"/>
      <c r="S24" s="20" t="n"/>
      <c r="T24" s="20" t="n"/>
      <c r="U24" s="20" t="n"/>
      <c r="V24" s="20" t="n"/>
      <c r="W24" s="20" t="n"/>
      <c r="X24" s="19" t="n"/>
      <c r="Y24" s="22" t="n"/>
      <c r="Z24" s="15" t="n"/>
      <c r="AA24" s="12" t="n"/>
    </row>
    <row r="25" ht="17" customHeight="1" thickBot="1">
      <c r="D25" s="3">
        <f>D24+1</f>
        <v/>
      </c>
      <c r="E25" s="30" t="n"/>
      <c r="F25" s="20" t="n"/>
      <c r="G25" s="20" t="n"/>
      <c r="H25" s="20" t="n"/>
      <c r="I25" s="31" t="n"/>
      <c r="J25" s="31" t="n"/>
      <c r="K25" s="31" t="n"/>
      <c r="L25" s="20" t="n"/>
      <c r="M25" s="20" t="n"/>
      <c r="N25" s="20" t="n"/>
      <c r="O25" s="20" t="n"/>
      <c r="P25" s="20" t="n"/>
      <c r="Q25" s="20" t="n"/>
      <c r="R25" s="20" t="n"/>
      <c r="S25" s="20" t="n"/>
      <c r="T25" s="20" t="n"/>
      <c r="U25" s="20" t="n"/>
      <c r="V25" s="20" t="n"/>
      <c r="W25" s="20" t="n"/>
      <c r="X25" s="19" t="n"/>
      <c r="Y25" s="22" t="n"/>
      <c r="Z25" s="26" t="n"/>
      <c r="AA25" s="15" t="n"/>
      <c r="AB25" s="12" t="n"/>
    </row>
    <row r="26" ht="17" customHeight="1" thickBot="1">
      <c r="D26" s="3">
        <f>D25+1</f>
        <v/>
      </c>
      <c r="E26" s="30" t="n"/>
      <c r="F26" s="20" t="n"/>
      <c r="G26" s="20" t="n"/>
      <c r="H26" s="20" t="n"/>
      <c r="I26" s="31" t="n"/>
      <c r="J26" s="31" t="n"/>
      <c r="K26" s="31" t="n"/>
      <c r="L26" s="20" t="n"/>
      <c r="M26" s="20" t="n"/>
      <c r="N26" s="20" t="n"/>
      <c r="O26" s="20" t="n"/>
      <c r="P26" s="20" t="n"/>
      <c r="Q26" s="20" t="n"/>
      <c r="R26" s="20" t="n"/>
      <c r="S26" s="20" t="n"/>
      <c r="T26" s="20" t="n"/>
      <c r="U26" s="20" t="n"/>
      <c r="V26" s="31" t="n"/>
      <c r="W26" s="20" t="n"/>
      <c r="X26" s="19" t="n"/>
      <c r="Y26" s="22" t="n"/>
      <c r="Z26" s="19" t="n"/>
      <c r="AA26" s="19" t="n"/>
      <c r="AB26" s="15" t="n"/>
      <c r="AC26" s="12" t="n"/>
    </row>
    <row r="27" ht="17" customHeight="1" thickBot="1">
      <c r="D27" s="3">
        <f>D26+1</f>
        <v/>
      </c>
      <c r="E27" s="30" t="n"/>
      <c r="F27" s="20" t="n"/>
      <c r="G27" s="20" t="n"/>
      <c r="H27" s="20" t="n"/>
      <c r="I27" s="31" t="n"/>
      <c r="J27" s="31" t="n"/>
      <c r="K27" s="31" t="n"/>
      <c r="L27" s="20" t="n"/>
      <c r="M27" s="20" t="n"/>
      <c r="N27" s="20" t="n"/>
      <c r="O27" s="20" t="n"/>
      <c r="P27" s="20" t="n"/>
      <c r="Q27" s="20" t="n"/>
      <c r="R27" s="20" t="n"/>
      <c r="S27" s="20" t="n"/>
      <c r="T27" s="20" t="n"/>
      <c r="U27" s="20" t="n"/>
      <c r="V27" s="20" t="n"/>
      <c r="W27" s="20" t="n"/>
      <c r="X27" s="19" t="n"/>
      <c r="Y27" s="22" t="n"/>
      <c r="Z27" s="19" t="n"/>
      <c r="AA27" s="19" t="n"/>
      <c r="AB27" s="19" t="n"/>
      <c r="AC27" s="15" t="n"/>
      <c r="AD27" s="12" t="n"/>
    </row>
    <row r="28" ht="15" customHeight="1" thickBot="1">
      <c r="D28" s="3">
        <f>D27+1</f>
        <v/>
      </c>
      <c r="E28" s="30" t="n"/>
      <c r="F28" s="20" t="n"/>
      <c r="G28" s="20" t="n"/>
      <c r="H28" s="20" t="n"/>
      <c r="I28" s="20" t="n"/>
      <c r="J28" s="20" t="n"/>
      <c r="K28" s="20" t="n"/>
      <c r="L28" s="20" t="n"/>
      <c r="M28" s="20" t="n"/>
      <c r="N28" s="20" t="n"/>
      <c r="O28" s="20" t="n"/>
      <c r="P28" s="20" t="n"/>
      <c r="Q28" s="20" t="n"/>
      <c r="R28" s="20" t="n"/>
      <c r="S28" s="20" t="n"/>
      <c r="T28" s="20" t="n"/>
      <c r="U28" s="20" t="n"/>
      <c r="V28" s="20" t="n"/>
      <c r="W28" s="20" t="n"/>
      <c r="X28" s="19" t="n"/>
      <c r="Y28" s="28" t="n"/>
      <c r="Z28" s="32" t="n"/>
      <c r="AA28" s="32" t="n"/>
      <c r="AB28" s="32" t="n"/>
      <c r="AC28" s="19" t="n"/>
      <c r="AD28" s="33" t="n"/>
    </row>
    <row r="29" ht="15" customHeight="1">
      <c r="D29" s="34" t="inlineStr">
        <is>
          <t>ID</t>
        </is>
      </c>
      <c r="E29" s="30" t="n">
        <v>1</v>
      </c>
      <c r="F29" s="22">
        <f>E29+1</f>
        <v/>
      </c>
      <c r="G29" s="22">
        <f>F29+1</f>
        <v/>
      </c>
      <c r="H29" s="22">
        <f>G29+1</f>
        <v/>
      </c>
      <c r="I29" s="22">
        <f>H29+1</f>
        <v/>
      </c>
      <c r="J29" s="22">
        <f>I29+1</f>
        <v/>
      </c>
      <c r="K29" s="22">
        <f>J29+1</f>
        <v/>
      </c>
      <c r="L29" s="22">
        <f>K29+1</f>
        <v/>
      </c>
      <c r="M29" s="22">
        <f>L29+1</f>
        <v/>
      </c>
      <c r="N29" s="22">
        <f>M29+1</f>
        <v/>
      </c>
      <c r="O29" s="22">
        <f>N29+1</f>
        <v/>
      </c>
      <c r="P29" s="22">
        <f>O29+1</f>
        <v/>
      </c>
      <c r="Q29" s="22">
        <f>P29+1</f>
        <v/>
      </c>
      <c r="R29" s="22">
        <f>Q29+1</f>
        <v/>
      </c>
      <c r="S29" s="22">
        <f>R29+1</f>
        <v/>
      </c>
      <c r="T29" s="22">
        <f>S29+1</f>
        <v/>
      </c>
      <c r="U29" s="22">
        <f>T29+1</f>
        <v/>
      </c>
      <c r="V29" s="22">
        <f>U29+1</f>
        <v/>
      </c>
      <c r="W29" s="22">
        <f>V29+1</f>
        <v/>
      </c>
      <c r="X29" s="22">
        <f>W29+1</f>
        <v/>
      </c>
      <c r="Y29" s="22">
        <f>X29+1</f>
        <v/>
      </c>
      <c r="Z29" s="22">
        <f>Y29+1</f>
        <v/>
      </c>
      <c r="AA29" s="22">
        <f>Z29+1</f>
        <v/>
      </c>
      <c r="AB29" s="22">
        <f>AA29+1</f>
        <v/>
      </c>
      <c r="AC29" s="19">
        <f>AB29+1</f>
        <v/>
      </c>
      <c r="AD29" s="35">
        <f>AC29+1</f>
        <v/>
      </c>
      <c r="AE29" s="245" t="inlineStr">
        <is>
          <t>Engineering Characteristics</t>
        </is>
      </c>
      <c r="AF29" s="246" t="n"/>
      <c r="AG29" s="246" t="n"/>
      <c r="AH29" s="247" t="n"/>
    </row>
    <row r="30" ht="191.25" customHeight="1" thickBot="1">
      <c r="D30" s="36" t="inlineStr">
        <is>
          <t>Relative Importance</t>
        </is>
      </c>
      <c r="E30" s="37" t="n"/>
      <c r="F30" s="38" t="n"/>
      <c r="G30" s="38" t="n"/>
      <c r="H30" s="38" t="n"/>
      <c r="I30" s="38" t="n"/>
      <c r="J30" s="38" t="n"/>
      <c r="K30" s="38" t="n"/>
      <c r="L30" s="38" t="n"/>
      <c r="M30" s="38" t="n"/>
      <c r="N30" s="38" t="n"/>
      <c r="O30" s="38" t="n"/>
      <c r="P30" s="38" t="n"/>
      <c r="Q30" s="38" t="n"/>
      <c r="R30" s="38" t="n"/>
      <c r="S30" s="38" t="n"/>
      <c r="T30" s="38" t="n"/>
      <c r="U30" s="38" t="n"/>
      <c r="V30" s="38" t="n"/>
      <c r="W30" s="38" t="n"/>
      <c r="X30" s="39" t="n"/>
      <c r="Y30" s="40" t="n"/>
      <c r="Z30" s="39" t="n"/>
      <c r="AA30" s="39" t="n"/>
      <c r="AB30" s="39" t="n"/>
      <c r="AC30" s="39" t="n"/>
      <c r="AD30" s="41" t="n"/>
      <c r="AE30" s="227" t="inlineStr">
        <is>
          <t>Customer Perception / Performance Scores</t>
        </is>
      </c>
      <c r="AF30" s="248" t="n"/>
      <c r="AG30" s="248" t="n"/>
      <c r="AH30" s="248" t="n"/>
      <c r="AI30" s="248" t="n"/>
      <c r="AJ30" s="248" t="n"/>
      <c r="AK30" s="248" t="n"/>
      <c r="AL30" s="248" t="n"/>
    </row>
    <row r="31" ht="15.75" customHeight="1" thickBot="1">
      <c r="B31" s="9" t="inlineStr">
        <is>
          <t>Performance Criteria (or Measures) / Customer Attributes</t>
        </is>
      </c>
      <c r="C31" s="34" t="inlineStr">
        <is>
          <t>Direction of Change   ↑  ↓</t>
        </is>
      </c>
      <c r="D31" s="42" t="n"/>
      <c r="E31" s="43" t="inlineStr">
        <is>
          <t xml:space="preserve"> </t>
        </is>
      </c>
      <c r="F31" s="44" t="n"/>
      <c r="G31" s="44" t="n"/>
      <c r="H31" s="44" t="n"/>
      <c r="I31" s="44" t="n"/>
      <c r="J31" s="44" t="n"/>
      <c r="K31" s="44" t="n"/>
      <c r="L31" s="44" t="n"/>
      <c r="M31" s="44" t="n"/>
      <c r="N31" s="44" t="n"/>
      <c r="O31" s="44" t="n"/>
      <c r="P31" s="44" t="n"/>
      <c r="Q31" s="44" t="n"/>
      <c r="R31" s="44" t="n"/>
      <c r="S31" s="45" t="n"/>
      <c r="T31" s="45" t="n"/>
      <c r="U31" s="45" t="n"/>
      <c r="V31" s="45" t="n"/>
      <c r="W31" s="45" t="n"/>
      <c r="X31" s="45" t="n"/>
      <c r="Y31" s="45" t="n"/>
      <c r="Z31" s="44" t="n"/>
      <c r="AA31" s="44" t="n"/>
      <c r="AB31" s="44" t="n"/>
      <c r="AC31" s="44" t="n"/>
      <c r="AD31" s="46" t="n"/>
      <c r="AE31" s="245" t="inlineStr">
        <is>
          <t>Normalized &amp; Unweighted</t>
        </is>
      </c>
      <c r="AF31" s="246" t="n"/>
      <c r="AG31" s="246" t="n"/>
      <c r="AH31" s="246" t="n"/>
      <c r="AI31" s="247" t="n"/>
      <c r="AJ31" s="245" t="inlineStr">
        <is>
          <t>Normalized &amp; Weighted</t>
        </is>
      </c>
      <c r="AK31" s="246" t="n"/>
      <c r="AL31" s="246" t="n"/>
      <c r="AM31" s="246" t="n"/>
      <c r="AN31" s="247" t="n"/>
    </row>
    <row r="32" ht="17" customHeight="1" thickBot="1">
      <c r="A32" s="34" t="inlineStr">
        <is>
          <t>ID</t>
        </is>
      </c>
      <c r="B32" s="47" t="inlineStr">
        <is>
          <t>Full Attribute/Goal/Add'l Info</t>
        </is>
      </c>
      <c r="C32" s="47" t="inlineStr">
        <is>
          <t>Short Name</t>
        </is>
      </c>
      <c r="D32" s="48">
        <f>SUM(D33:D44)</f>
        <v/>
      </c>
      <c r="E32" s="49" t="inlineStr">
        <is>
          <t>↓</t>
        </is>
      </c>
      <c r="F32" s="50" t="inlineStr">
        <is>
          <t>↑</t>
        </is>
      </c>
      <c r="G32" s="50" t="inlineStr">
        <is>
          <t>↑</t>
        </is>
      </c>
      <c r="H32" s="50" t="inlineStr">
        <is>
          <t>↑</t>
        </is>
      </c>
      <c r="I32" s="50" t="inlineStr">
        <is>
          <t>↑</t>
        </is>
      </c>
      <c r="J32" s="50" t="inlineStr">
        <is>
          <t>↑</t>
        </is>
      </c>
      <c r="K32" s="50" t="inlineStr">
        <is>
          <t>↑</t>
        </is>
      </c>
      <c r="L32" s="50" t="inlineStr">
        <is>
          <t>↑</t>
        </is>
      </c>
      <c r="M32" s="50" t="inlineStr">
        <is>
          <t>↑</t>
        </is>
      </c>
      <c r="N32" s="50" t="inlineStr">
        <is>
          <t>↓</t>
        </is>
      </c>
      <c r="O32" s="50" t="inlineStr">
        <is>
          <t>↓</t>
        </is>
      </c>
      <c r="P32" s="50" t="inlineStr">
        <is>
          <t>↓</t>
        </is>
      </c>
      <c r="Q32" s="50" t="n"/>
      <c r="R32" s="50" t="n"/>
      <c r="S32" s="50" t="n"/>
      <c r="T32" s="50" t="n"/>
      <c r="U32" s="50" t="n"/>
      <c r="V32" s="50" t="n"/>
      <c r="W32" s="50" t="n"/>
      <c r="X32" s="50" t="n"/>
      <c r="Y32" s="50" t="n"/>
      <c r="Z32" s="50" t="n"/>
      <c r="AA32" s="50" t="n"/>
      <c r="AB32" s="50" t="n"/>
      <c r="AC32" s="50" t="n"/>
      <c r="AD32" s="51" t="n"/>
      <c r="AE32" s="52" t="inlineStr">
        <is>
          <t>A(low)</t>
        </is>
      </c>
      <c r="AF32" s="53" t="inlineStr">
        <is>
          <t>A(high)</t>
        </is>
      </c>
      <c r="AG32" s="53" t="inlineStr">
        <is>
          <t>A(target)</t>
        </is>
      </c>
      <c r="AH32" s="54" t="inlineStr">
        <is>
          <t>B</t>
        </is>
      </c>
      <c r="AI32" s="54" t="inlineStr">
        <is>
          <t>C</t>
        </is>
      </c>
      <c r="AJ32" s="52" t="inlineStr">
        <is>
          <t>A(low)</t>
        </is>
      </c>
      <c r="AK32" s="53" t="inlineStr">
        <is>
          <t>A(high)</t>
        </is>
      </c>
      <c r="AL32" s="55" t="inlineStr">
        <is>
          <t>A(target)</t>
        </is>
      </c>
      <c r="AM32" s="56" t="inlineStr">
        <is>
          <t>B</t>
        </is>
      </c>
      <c r="AN32" s="57" t="inlineStr">
        <is>
          <t>C</t>
        </is>
      </c>
    </row>
    <row r="33">
      <c r="A33" s="3" t="n">
        <v>1</v>
      </c>
      <c r="B33" s="58" t="inlineStr">
        <is>
          <t>The system shall produce high-quality PRD drafts that require minimal editing.</t>
        </is>
      </c>
      <c r="C33" s="59" t="inlineStr">
        <is>
          <t>PRD draft quality</t>
        </is>
      </c>
      <c r="D33" s="60" t="n">
        <v>0.15</v>
      </c>
      <c r="E33" s="61" t="n"/>
      <c r="F33" s="62" t="n">
        <v>2</v>
      </c>
      <c r="G33" s="62" t="n"/>
      <c r="H33" s="62" t="n"/>
      <c r="I33" s="62" t="n"/>
      <c r="J33" s="62" t="n"/>
      <c r="K33" s="62" t="n"/>
      <c r="L33" s="62" t="n">
        <v>1</v>
      </c>
      <c r="M33" s="62" t="n">
        <v>1</v>
      </c>
      <c r="N33" s="62" t="n"/>
      <c r="O33" s="62" t="n"/>
      <c r="P33" s="62" t="n"/>
      <c r="Q33" s="62" t="n"/>
      <c r="R33" s="62" t="n"/>
      <c r="S33" s="62" t="n"/>
      <c r="T33" s="62" t="n"/>
      <c r="U33" s="62" t="n"/>
      <c r="V33" s="62" t="n"/>
      <c r="W33" s="62" t="n"/>
      <c r="X33" s="63" t="n"/>
      <c r="Y33" s="63" t="n"/>
      <c r="Z33" s="62" t="n"/>
      <c r="AA33" s="62" t="n"/>
      <c r="AB33" s="62" t="n"/>
      <c r="AC33" s="62" t="n"/>
      <c r="AD33" s="64" t="n"/>
      <c r="AE33" s="65" t="n">
        <v>3</v>
      </c>
      <c r="AF33" s="66" t="n">
        <v>5</v>
      </c>
      <c r="AG33" s="66" t="n">
        <v>4</v>
      </c>
      <c r="AH33" s="66" t="n">
        <v>4</v>
      </c>
      <c r="AI33" s="67" t="n">
        <v>3</v>
      </c>
      <c r="AJ33" s="68">
        <f>AE33*$D33</f>
        <v/>
      </c>
      <c r="AK33" s="69">
        <f>AF33*$D33</f>
        <v/>
      </c>
      <c r="AL33" s="69" t="n"/>
      <c r="AM33" s="69">
        <f>AH33*$D33</f>
        <v/>
      </c>
      <c r="AN33" s="70">
        <f>AI33*$D33</f>
        <v/>
      </c>
    </row>
    <row r="34">
      <c r="A34" s="3">
        <f>A33+1</f>
        <v/>
      </c>
      <c r="B34" s="71" t="inlineStr">
        <is>
          <t>The system shall respond to prompts in a reasonable time under load.</t>
        </is>
      </c>
      <c r="C34" s="72" t="inlineStr">
        <is>
          <t>Response speed</t>
        </is>
      </c>
      <c r="D34" s="73" t="n">
        <v>0.1</v>
      </c>
      <c r="E34" s="74" t="n">
        <v>2</v>
      </c>
      <c r="F34" s="75" t="n">
        <v>-1</v>
      </c>
      <c r="G34" s="75" t="n">
        <v>-1</v>
      </c>
      <c r="H34" s="75" t="n"/>
      <c r="I34" s="75" t="n"/>
      <c r="J34" s="75" t="n"/>
      <c r="K34" s="75" t="n"/>
      <c r="L34" s="75" t="n"/>
      <c r="M34" s="75" t="n"/>
      <c r="N34" s="75" t="n"/>
      <c r="O34" s="75" t="n">
        <v>1</v>
      </c>
      <c r="P34" s="75" t="n"/>
      <c r="Q34" s="75" t="n"/>
      <c r="R34" s="75" t="n"/>
      <c r="S34" s="75" t="n"/>
      <c r="T34" s="75" t="n"/>
      <c r="U34" s="75" t="n"/>
      <c r="V34" s="75" t="n"/>
      <c r="W34" s="75" t="n"/>
      <c r="X34" s="75" t="n"/>
      <c r="Y34" s="75" t="n"/>
      <c r="Z34" s="75" t="n"/>
      <c r="AA34" s="75" t="n"/>
      <c r="AB34" s="75" t="n"/>
      <c r="AC34" s="75" t="n"/>
      <c r="AD34" s="76" t="n"/>
      <c r="AE34" s="77" t="n">
        <v>3</v>
      </c>
      <c r="AF34" s="78" t="n">
        <v>4</v>
      </c>
      <c r="AG34" s="78" t="n">
        <v>4</v>
      </c>
      <c r="AH34" s="78" t="n">
        <v>4</v>
      </c>
      <c r="AI34" s="79" t="n">
        <v>5</v>
      </c>
      <c r="AJ34" s="80">
        <f>AE34*$D34</f>
        <v/>
      </c>
      <c r="AK34" s="81">
        <f>AF34*$D34</f>
        <v/>
      </c>
      <c r="AL34" s="81" t="n"/>
      <c r="AM34" s="81">
        <f>AH34*$D34</f>
        <v/>
      </c>
      <c r="AN34" s="82">
        <f>AI34*$D34</f>
        <v/>
      </c>
    </row>
    <row r="35">
      <c r="A35" s="3">
        <f>A34+1</f>
        <v/>
      </c>
      <c r="B35" s="83" t="inlineStr">
        <is>
          <t>The system shall be easy for a new PM to use without extensive training.</t>
        </is>
      </c>
      <c r="C35" s="84" t="inlineStr">
        <is>
          <t>Ease of use</t>
        </is>
      </c>
      <c r="D35" s="73" t="n">
        <v>0.12</v>
      </c>
      <c r="E35" s="74" t="n">
        <v>1</v>
      </c>
      <c r="F35" s="75" t="n"/>
      <c r="G35" s="75" t="n"/>
      <c r="H35" s="75" t="n">
        <v>1</v>
      </c>
      <c r="I35" s="75" t="n"/>
      <c r="J35" s="75" t="n"/>
      <c r="K35" s="75" t="n"/>
      <c r="L35" s="75" t="n">
        <v>1</v>
      </c>
      <c r="M35" s="75" t="n"/>
      <c r="N35" s="75" t="n"/>
      <c r="O35" s="75" t="n"/>
      <c r="P35" s="75" t="n">
        <v>2</v>
      </c>
      <c r="Q35" s="75" t="n"/>
      <c r="R35" s="75" t="n"/>
      <c r="S35" s="75" t="n"/>
      <c r="T35" s="75" t="n"/>
      <c r="U35" s="75" t="n"/>
      <c r="V35" s="75" t="n"/>
      <c r="W35" s="75" t="n"/>
      <c r="X35" s="75" t="n"/>
      <c r="Y35" s="75" t="n"/>
      <c r="Z35" s="75" t="n"/>
      <c r="AA35" s="75" t="n"/>
      <c r="AB35" s="75" t="n"/>
      <c r="AC35" s="75" t="n"/>
      <c r="AD35" s="76" t="n"/>
      <c r="AE35" s="77" t="n">
        <v>3</v>
      </c>
      <c r="AF35" s="78" t="n">
        <v>5</v>
      </c>
      <c r="AG35" s="78" t="n">
        <v>4</v>
      </c>
      <c r="AH35" s="78" t="n">
        <v>3</v>
      </c>
      <c r="AI35" s="79" t="n">
        <v>4</v>
      </c>
      <c r="AJ35" s="80">
        <f>AE35*$D35</f>
        <v/>
      </c>
      <c r="AK35" s="81">
        <f>AF35*$D35</f>
        <v/>
      </c>
      <c r="AL35" s="81" t="n"/>
      <c r="AM35" s="81">
        <f>AH35*$D35</f>
        <v/>
      </c>
      <c r="AN35" s="82">
        <f>AI35*$D35</f>
        <v/>
      </c>
    </row>
    <row r="36">
      <c r="A36" s="3">
        <f>A35+1</f>
        <v/>
      </c>
      <c r="B36" s="83" t="inlineStr">
        <is>
          <t>The system shall protect confidential product and customer data.</t>
        </is>
      </c>
      <c r="C36" s="84" t="inlineStr">
        <is>
          <t>Data security</t>
        </is>
      </c>
      <c r="D36" s="73" t="n">
        <v>0.15</v>
      </c>
      <c r="E36" s="74" t="n"/>
      <c r="F36" s="75" t="n"/>
      <c r="G36" s="75" t="n"/>
      <c r="H36" s="75" t="n"/>
      <c r="I36" s="75" t="n">
        <v>2</v>
      </c>
      <c r="J36" s="75" t="n"/>
      <c r="K36" s="75" t="n"/>
      <c r="L36" s="75" t="n"/>
      <c r="M36" s="75" t="n"/>
      <c r="N36" s="75" t="n"/>
      <c r="O36" s="75" t="n">
        <v>-1</v>
      </c>
      <c r="P36" s="75" t="n"/>
      <c r="Q36" s="75" t="n"/>
      <c r="R36" s="75" t="n"/>
      <c r="S36" s="75" t="n"/>
      <c r="T36" s="75" t="n"/>
      <c r="U36" s="75" t="n"/>
      <c r="V36" s="75" t="n"/>
      <c r="W36" s="75" t="n"/>
      <c r="X36" s="75" t="n"/>
      <c r="Y36" s="75" t="n"/>
      <c r="Z36" s="75" t="n"/>
      <c r="AA36" s="75" t="n"/>
      <c r="AB36" s="75" t="n"/>
      <c r="AC36" s="75" t="n"/>
      <c r="AD36" s="76" t="n"/>
      <c r="AE36" s="77" t="n">
        <v>3</v>
      </c>
      <c r="AF36" s="78" t="n">
        <v>5</v>
      </c>
      <c r="AG36" s="78" t="n">
        <v>5</v>
      </c>
      <c r="AH36" s="78" t="n">
        <v>3</v>
      </c>
      <c r="AI36" s="79" t="n">
        <v>4</v>
      </c>
      <c r="AJ36" s="80">
        <f>AE36*$D36</f>
        <v/>
      </c>
      <c r="AK36" s="81">
        <f>AF36*$D36</f>
        <v/>
      </c>
      <c r="AL36" s="81" t="n"/>
      <c r="AM36" s="81">
        <f>AH36*$D36</f>
        <v/>
      </c>
      <c r="AN36" s="82">
        <f>AI36*$D36</f>
        <v/>
      </c>
    </row>
    <row r="37">
      <c r="A37" s="3">
        <f>A36+1</f>
        <v/>
      </c>
      <c r="B37" s="83" t="inlineStr">
        <is>
          <t>The system shall integrate with the tools PM teams already use (Jira, Linear, Notion, Figma).</t>
        </is>
      </c>
      <c r="C37" s="84" t="inlineStr">
        <is>
          <t>Tool integration</t>
        </is>
      </c>
      <c r="D37" s="73" t="n">
        <v>0.08</v>
      </c>
      <c r="E37" s="74" t="n"/>
      <c r="F37" s="75" t="n"/>
      <c r="G37" s="75" t="n"/>
      <c r="H37" s="75" t="n">
        <v>2</v>
      </c>
      <c r="I37" s="75" t="n"/>
      <c r="J37" s="75" t="n"/>
      <c r="K37" s="75" t="n"/>
      <c r="L37" s="75" t="n"/>
      <c r="M37" s="75" t="n"/>
      <c r="N37" s="75" t="n"/>
      <c r="O37" s="75" t="n"/>
      <c r="P37" s="75" t="n">
        <v>1</v>
      </c>
      <c r="Q37" s="75" t="n"/>
      <c r="R37" s="75" t="n"/>
      <c r="S37" s="75" t="n"/>
      <c r="T37" s="75" t="n"/>
      <c r="U37" s="75" t="n"/>
      <c r="V37" s="75" t="n"/>
      <c r="W37" s="75" t="n"/>
      <c r="X37" s="75" t="n"/>
      <c r="Y37" s="75" t="n"/>
      <c r="Z37" s="75" t="n"/>
      <c r="AA37" s="75" t="n"/>
      <c r="AB37" s="75" t="n"/>
      <c r="AC37" s="75" t="n"/>
      <c r="AD37" s="76" t="n"/>
      <c r="AE37" s="77" t="n">
        <v>2</v>
      </c>
      <c r="AF37" s="78" t="n">
        <v>4</v>
      </c>
      <c r="AG37" s="78" t="n">
        <v>3</v>
      </c>
      <c r="AH37" s="78" t="n">
        <v>2</v>
      </c>
      <c r="AI37" s="79" t="n">
        <v>5</v>
      </c>
      <c r="AJ37" s="80">
        <f>AE37*$D37</f>
        <v/>
      </c>
      <c r="AK37" s="81">
        <f>AF37*$D37</f>
        <v/>
      </c>
      <c r="AL37" s="81" t="n"/>
      <c r="AM37" s="81">
        <f>AH37*$D37</f>
        <v/>
      </c>
      <c r="AN37" s="82">
        <f>AI37*$D37</f>
        <v/>
      </c>
    </row>
    <row r="38">
      <c r="A38" s="3">
        <f>A37+1</f>
        <v/>
      </c>
      <c r="B38" s="83" t="inlineStr">
        <is>
          <t>The system shall accurately extract themes from user feedback at scale.</t>
        </is>
      </c>
      <c r="C38" s="84" t="inlineStr">
        <is>
          <t>Feedback analysis accuracy</t>
        </is>
      </c>
      <c r="D38" s="73" t="n">
        <v>0.1</v>
      </c>
      <c r="E38" s="74" t="n"/>
      <c r="F38" s="75" t="n">
        <v>1</v>
      </c>
      <c r="G38" s="75" t="n"/>
      <c r="H38" s="75" t="n"/>
      <c r="I38" s="75" t="n"/>
      <c r="J38" s="75" t="n"/>
      <c r="K38" s="75" t="n">
        <v>2</v>
      </c>
      <c r="L38" s="75" t="n">
        <v>1</v>
      </c>
      <c r="M38" s="75" t="n"/>
      <c r="N38" s="75" t="n"/>
      <c r="O38" s="75" t="n"/>
      <c r="P38" s="75" t="n"/>
      <c r="Q38" s="75" t="n"/>
      <c r="R38" s="75" t="n"/>
      <c r="S38" s="75" t="n"/>
      <c r="T38" s="75" t="n"/>
      <c r="U38" s="75" t="n"/>
      <c r="V38" s="75" t="n"/>
      <c r="W38" s="75" t="n"/>
      <c r="X38" s="75" t="n"/>
      <c r="Y38" s="75" t="n"/>
      <c r="Z38" s="75" t="n"/>
      <c r="AA38" s="75" t="n"/>
      <c r="AB38" s="75" t="n"/>
      <c r="AC38" s="75" t="n"/>
      <c r="AD38" s="76" t="n"/>
      <c r="AE38" s="77" t="n">
        <v>3</v>
      </c>
      <c r="AF38" s="78" t="n">
        <v>5</v>
      </c>
      <c r="AG38" s="78" t="n">
        <v>4</v>
      </c>
      <c r="AH38" s="78" t="n">
        <v>3</v>
      </c>
      <c r="AI38" s="79" t="n">
        <v>3</v>
      </c>
      <c r="AJ38" s="80">
        <f>AE38*$D38</f>
        <v/>
      </c>
      <c r="AK38" s="81">
        <f>AF38*$D38</f>
        <v/>
      </c>
      <c r="AL38" s="81" t="n"/>
      <c r="AM38" s="81">
        <f>AH38*$D38</f>
        <v/>
      </c>
      <c r="AN38" s="82">
        <f>AI38*$D38</f>
        <v/>
      </c>
    </row>
    <row r="39">
      <c r="A39" s="3">
        <f>A38+1</f>
        <v/>
      </c>
      <c r="B39" s="83" t="inlineStr">
        <is>
          <t>The system shall explain how it prioritizes features in a transparent, auditable way.</t>
        </is>
      </c>
      <c r="C39" s="84" t="inlineStr">
        <is>
          <t>Prioritization transparency</t>
        </is>
      </c>
      <c r="D39" s="73" t="n">
        <v>0.08</v>
      </c>
      <c r="E39" s="74" t="n"/>
      <c r="F39" s="75" t="n"/>
      <c r="G39" s="75" t="n"/>
      <c r="H39" s="75" t="n"/>
      <c r="I39" s="75" t="n"/>
      <c r="J39" s="75" t="n"/>
      <c r="K39" s="75" t="n"/>
      <c r="L39" s="75" t="n">
        <v>2</v>
      </c>
      <c r="M39" s="75" t="n"/>
      <c r="N39" s="75" t="n"/>
      <c r="O39" s="75" t="n"/>
      <c r="P39" s="75" t="n"/>
      <c r="Q39" s="75" t="n"/>
      <c r="R39" s="75" t="n"/>
      <c r="S39" s="75" t="n"/>
      <c r="T39" s="75" t="n"/>
      <c r="U39" s="75" t="n"/>
      <c r="V39" s="75" t="n"/>
      <c r="W39" s="75" t="n"/>
      <c r="X39" s="75" t="n"/>
      <c r="Y39" s="75" t="n"/>
      <c r="Z39" s="75" t="n"/>
      <c r="AA39" s="75" t="n"/>
      <c r="AB39" s="75" t="n"/>
      <c r="AC39" s="75" t="n"/>
      <c r="AD39" s="76" t="n"/>
      <c r="AE39" s="77" t="n">
        <v>3</v>
      </c>
      <c r="AF39" s="78" t="n">
        <v>5</v>
      </c>
      <c r="AG39" s="78" t="n">
        <v>4</v>
      </c>
      <c r="AH39" s="78" t="n">
        <v>2</v>
      </c>
      <c r="AI39" s="79" t="n">
        <v>2</v>
      </c>
      <c r="AJ39" s="80">
        <f>AE39*$D39</f>
        <v/>
      </c>
      <c r="AK39" s="81">
        <f>AF39*$D39</f>
        <v/>
      </c>
      <c r="AL39" s="81" t="n"/>
      <c r="AM39" s="81">
        <f>AH39*$D39</f>
        <v/>
      </c>
      <c r="AN39" s="82">
        <f>AI39*$D39</f>
        <v/>
      </c>
    </row>
    <row r="40">
      <c r="A40" s="3">
        <f>A39+1</f>
        <v/>
      </c>
      <c r="B40" s="83" t="inlineStr">
        <is>
          <t>The system shall allow teams to customize templates, voice, and output format.</t>
        </is>
      </c>
      <c r="C40" s="84" t="inlineStr">
        <is>
          <t>Output customizability</t>
        </is>
      </c>
      <c r="D40" s="73" t="n">
        <v>0.07000000000000001</v>
      </c>
      <c r="E40" s="74" t="n"/>
      <c r="F40" s="75" t="n"/>
      <c r="G40" s="75" t="n"/>
      <c r="H40" s="75" t="n"/>
      <c r="I40" s="75" t="n"/>
      <c r="J40" s="75" t="n"/>
      <c r="K40" s="75" t="n"/>
      <c r="L40" s="75" t="n"/>
      <c r="M40" s="75" t="n">
        <v>2</v>
      </c>
      <c r="N40" s="75" t="n"/>
      <c r="O40" s="75" t="n"/>
      <c r="P40" s="75" t="n">
        <v>1</v>
      </c>
      <c r="Q40" s="75" t="n"/>
      <c r="R40" s="75" t="n"/>
      <c r="S40" s="75" t="n"/>
      <c r="T40" s="75" t="n"/>
      <c r="U40" s="75" t="n"/>
      <c r="V40" s="75" t="n"/>
      <c r="W40" s="75" t="n"/>
      <c r="X40" s="75" t="n"/>
      <c r="Y40" s="75" t="n"/>
      <c r="Z40" s="75" t="n"/>
      <c r="AA40" s="75" t="n"/>
      <c r="AB40" s="75" t="n"/>
      <c r="AC40" s="75" t="n"/>
      <c r="AD40" s="76" t="n"/>
      <c r="AE40" s="77" t="n">
        <v>3</v>
      </c>
      <c r="AF40" s="78" t="n">
        <v>4</v>
      </c>
      <c r="AG40" s="78" t="n">
        <v>4</v>
      </c>
      <c r="AH40" s="78" t="n">
        <v>3</v>
      </c>
      <c r="AI40" s="79" t="n">
        <v>2</v>
      </c>
      <c r="AJ40" s="80">
        <f>AE40*$D40</f>
        <v/>
      </c>
      <c r="AK40" s="81">
        <f>AF40*$D40</f>
        <v/>
      </c>
      <c r="AL40" s="81" t="n"/>
      <c r="AM40" s="81">
        <f>AH40*$D40</f>
        <v/>
      </c>
      <c r="AN40" s="82">
        <f>AI40*$D40</f>
        <v/>
      </c>
    </row>
    <row r="41">
      <c r="A41" s="3">
        <f>A40+1</f>
        <v/>
      </c>
      <c r="B41" s="83" t="inlineStr">
        <is>
          <t>The system shall remain available during critical release windows.</t>
        </is>
      </c>
      <c r="C41" s="84" t="inlineStr">
        <is>
          <t>Reliability</t>
        </is>
      </c>
      <c r="D41" s="73" t="n">
        <v>0.1</v>
      </c>
      <c r="E41" s="74" t="n">
        <v>1</v>
      </c>
      <c r="F41" s="75" t="n"/>
      <c r="G41" s="75" t="n">
        <v>1</v>
      </c>
      <c r="H41" s="75" t="n"/>
      <c r="I41" s="75" t="n"/>
      <c r="J41" s="75" t="n">
        <v>2</v>
      </c>
      <c r="K41" s="75" t="n"/>
      <c r="L41" s="75" t="n"/>
      <c r="M41" s="75" t="n"/>
      <c r="N41" s="75" t="n"/>
      <c r="O41" s="75" t="n"/>
      <c r="P41" s="75" t="n"/>
      <c r="Q41" s="75" t="n"/>
      <c r="R41" s="75" t="n"/>
      <c r="S41" s="75" t="n"/>
      <c r="T41" s="75" t="n"/>
      <c r="U41" s="75" t="n"/>
      <c r="V41" s="75" t="n"/>
      <c r="W41" s="75" t="n"/>
      <c r="X41" s="75" t="n"/>
      <c r="Y41" s="75" t="n"/>
      <c r="Z41" s="75" t="n"/>
      <c r="AA41" s="75" t="n"/>
      <c r="AB41" s="75" t="n"/>
      <c r="AC41" s="75" t="n"/>
      <c r="AD41" s="76" t="n"/>
      <c r="AE41" s="77" t="n">
        <v>3</v>
      </c>
      <c r="AF41" s="78" t="n">
        <v>5</v>
      </c>
      <c r="AG41" s="78" t="n">
        <v>4</v>
      </c>
      <c r="AH41" s="78" t="n">
        <v>4</v>
      </c>
      <c r="AI41" s="79" t="n">
        <v>5</v>
      </c>
      <c r="AJ41" s="80">
        <f>AE41*$D41</f>
        <v/>
      </c>
      <c r="AK41" s="81">
        <f>AF41*$D41</f>
        <v/>
      </c>
      <c r="AL41" s="81" t="n"/>
      <c r="AM41" s="81">
        <f>AH41*$D41</f>
        <v/>
      </c>
      <c r="AN41" s="82">
        <f>AI41*$D41</f>
        <v/>
      </c>
    </row>
    <row r="42">
      <c r="A42" s="3">
        <f>A41+1</f>
        <v/>
      </c>
      <c r="B42" s="83" t="inlineStr">
        <is>
          <t>The system shall support multi-user collaboration on the same document.</t>
        </is>
      </c>
      <c r="C42" s="84" t="inlineStr">
        <is>
          <t>Multi-user collab</t>
        </is>
      </c>
      <c r="D42" s="73" t="n">
        <v>0.05</v>
      </c>
      <c r="E42" s="74" t="n"/>
      <c r="F42" s="75" t="n"/>
      <c r="G42" s="75" t="n">
        <v>1</v>
      </c>
      <c r="H42" s="75" t="n"/>
      <c r="I42" s="75" t="n"/>
      <c r="J42" s="75" t="n"/>
      <c r="K42" s="75" t="n"/>
      <c r="L42" s="75" t="n"/>
      <c r="M42" s="75" t="n"/>
      <c r="N42" s="75" t="n">
        <v>2</v>
      </c>
      <c r="O42" s="75" t="n"/>
      <c r="P42" s="75" t="n"/>
      <c r="Q42" s="75" t="n"/>
      <c r="R42" s="75" t="n"/>
      <c r="S42" s="75" t="n"/>
      <c r="T42" s="75" t="n"/>
      <c r="U42" s="75" t="n"/>
      <c r="V42" s="75" t="n"/>
      <c r="W42" s="75" t="n"/>
      <c r="X42" s="75" t="n"/>
      <c r="Y42" s="75" t="n"/>
      <c r="Z42" s="75" t="n"/>
      <c r="AA42" s="75" t="n"/>
      <c r="AB42" s="75" t="n"/>
      <c r="AC42" s="75" t="n"/>
      <c r="AD42" s="76" t="n"/>
      <c r="AE42" s="77" t="n">
        <v>2</v>
      </c>
      <c r="AF42" s="78" t="n">
        <v>4</v>
      </c>
      <c r="AG42" s="78" t="n">
        <v>3</v>
      </c>
      <c r="AH42" s="78" t="n">
        <v>2</v>
      </c>
      <c r="AI42" s="79" t="n">
        <v>5</v>
      </c>
      <c r="AJ42" s="80">
        <f>AE42*$D42</f>
        <v/>
      </c>
      <c r="AK42" s="81">
        <f>AF42*$D42</f>
        <v/>
      </c>
      <c r="AL42" s="81" t="n"/>
      <c r="AM42" s="81">
        <f>AH42*$D42</f>
        <v/>
      </c>
      <c r="AN42" s="82">
        <f>AI42*$D42</f>
        <v/>
      </c>
    </row>
    <row r="43">
      <c r="A43" s="3">
        <f>A42+1</f>
        <v/>
      </c>
      <c r="B43" s="83" t="n"/>
      <c r="C43" s="84" t="n"/>
      <c r="D43" s="73" t="n"/>
      <c r="E43" s="74" t="n"/>
      <c r="F43" s="75" t="n"/>
      <c r="G43" s="75" t="n"/>
      <c r="H43" s="75" t="n"/>
      <c r="I43" s="75" t="n"/>
      <c r="J43" s="75" t="n"/>
      <c r="K43" s="75" t="n"/>
      <c r="L43" s="75" t="n"/>
      <c r="M43" s="75" t="n"/>
      <c r="N43" s="75" t="n"/>
      <c r="O43" s="75" t="n"/>
      <c r="P43" s="75" t="n"/>
      <c r="Q43" s="75" t="n"/>
      <c r="R43" s="75" t="n"/>
      <c r="S43" s="75" t="n"/>
      <c r="T43" s="75" t="n"/>
      <c r="U43" s="75" t="n"/>
      <c r="V43" s="75" t="n"/>
      <c r="W43" s="75" t="n"/>
      <c r="X43" s="75" t="n"/>
      <c r="Y43" s="75" t="n"/>
      <c r="Z43" s="75" t="n"/>
      <c r="AA43" s="75" t="n"/>
      <c r="AB43" s="75" t="n"/>
      <c r="AC43" s="75" t="n"/>
      <c r="AD43" s="76" t="n"/>
      <c r="AE43" s="77" t="n">
        <v>0</v>
      </c>
      <c r="AF43" s="78" t="n">
        <v>0</v>
      </c>
      <c r="AG43" s="78" t="n"/>
      <c r="AH43" s="78" t="n">
        <v>0</v>
      </c>
      <c r="AI43" s="79" t="n">
        <v>0</v>
      </c>
      <c r="AJ43" s="80">
        <f>AE43*$D43</f>
        <v/>
      </c>
      <c r="AK43" s="81">
        <f>AF43*$D43</f>
        <v/>
      </c>
      <c r="AL43" s="81" t="n"/>
      <c r="AM43" s="81">
        <f>AH43*$D43</f>
        <v/>
      </c>
      <c r="AN43" s="82">
        <f>AI43*$D43</f>
        <v/>
      </c>
    </row>
    <row r="44" ht="17" customHeight="1" thickBot="1">
      <c r="A44" s="3">
        <f>A43+1</f>
        <v/>
      </c>
      <c r="B44" s="85" t="n"/>
      <c r="C44" s="86" t="n"/>
      <c r="D44" s="87" t="n"/>
      <c r="E44" s="88" t="n"/>
      <c r="F44" s="89" t="n"/>
      <c r="G44" s="89" t="n"/>
      <c r="H44" s="89" t="n"/>
      <c r="I44" s="89" t="n"/>
      <c r="J44" s="89" t="n"/>
      <c r="K44" s="89" t="n"/>
      <c r="L44" s="89" t="n"/>
      <c r="M44" s="89" t="n"/>
      <c r="N44" s="89" t="n"/>
      <c r="O44" s="89" t="n"/>
      <c r="P44" s="89" t="n"/>
      <c r="Q44" s="89" t="n"/>
      <c r="R44" s="89" t="n"/>
      <c r="S44" s="89" t="n"/>
      <c r="T44" s="89" t="n"/>
      <c r="U44" s="89" t="n"/>
      <c r="V44" s="89" t="n"/>
      <c r="W44" s="89" t="n"/>
      <c r="X44" s="89" t="n"/>
      <c r="Y44" s="89" t="n"/>
      <c r="Z44" s="89" t="n"/>
      <c r="AA44" s="89" t="n"/>
      <c r="AB44" s="89" t="n"/>
      <c r="AC44" s="89" t="n"/>
      <c r="AD44" s="90" t="n"/>
      <c r="AE44" s="91" t="n">
        <v>0</v>
      </c>
      <c r="AF44" s="92" t="n">
        <v>0</v>
      </c>
      <c r="AG44" s="92" t="n"/>
      <c r="AH44" s="92" t="n">
        <v>0</v>
      </c>
      <c r="AI44" s="93" t="n">
        <v>0</v>
      </c>
      <c r="AJ44" s="94">
        <f>AE44*$D44</f>
        <v/>
      </c>
      <c r="AK44" s="95">
        <f>AF44*$D44</f>
        <v/>
      </c>
      <c r="AL44" s="95" t="n"/>
      <c r="AM44" s="95">
        <f>AH44*$D44</f>
        <v/>
      </c>
      <c r="AN44" s="96">
        <f>AI44*$D44</f>
        <v/>
      </c>
    </row>
    <row r="45" ht="17" customHeight="1">
      <c r="B45" s="34" t="inlineStr">
        <is>
          <t>Competitor Legend</t>
        </is>
      </c>
      <c r="C45" s="219" t="inlineStr">
        <is>
          <t>Measurement Units</t>
        </is>
      </c>
      <c r="D45" s="249" t="n"/>
      <c r="E45" s="97" t="inlineStr">
        <is>
          <t>ms</t>
        </is>
      </c>
      <c r="F45" s="97" t="inlineStr">
        <is>
          <t>score</t>
        </is>
      </c>
      <c r="G45" s="97" t="inlineStr">
        <is>
          <t>users</t>
        </is>
      </c>
      <c r="H45" s="97" t="inlineStr">
        <is>
          <t>count</t>
        </is>
      </c>
      <c r="I45" s="97" t="inlineStr">
        <is>
          <t>count</t>
        </is>
      </c>
      <c r="J45" s="97" t="inlineStr">
        <is>
          <t>%</t>
        </is>
      </c>
      <c r="K45" s="97" t="inlineStr">
        <is>
          <t>score</t>
        </is>
      </c>
      <c r="L45" s="97" t="inlineStr">
        <is>
          <t>tier</t>
        </is>
      </c>
      <c r="M45" s="97" t="inlineStr">
        <is>
          <t>count</t>
        </is>
      </c>
      <c r="N45" s="97" t="inlineStr">
        <is>
          <t>ms</t>
        </is>
      </c>
      <c r="O45" s="97" t="inlineStr">
        <is>
          <t>$/user/mo</t>
        </is>
      </c>
      <c r="P45" s="97" t="inlineStr">
        <is>
          <t>min</t>
        </is>
      </c>
      <c r="Q45" s="97" t="inlineStr">
        <is>
          <t xml:space="preserve"> </t>
        </is>
      </c>
      <c r="R45" s="97" t="inlineStr">
        <is>
          <t xml:space="preserve"> </t>
        </is>
      </c>
      <c r="S45" s="97" t="inlineStr">
        <is>
          <t xml:space="preserve"> </t>
        </is>
      </c>
      <c r="T45" s="97" t="inlineStr">
        <is>
          <t xml:space="preserve"> </t>
        </is>
      </c>
      <c r="U45" s="97" t="inlineStr">
        <is>
          <t xml:space="preserve"> </t>
        </is>
      </c>
      <c r="V45" s="97" t="inlineStr">
        <is>
          <t xml:space="preserve"> </t>
        </is>
      </c>
      <c r="W45" s="97" t="inlineStr">
        <is>
          <t xml:space="preserve"> </t>
        </is>
      </c>
      <c r="X45" s="97" t="inlineStr">
        <is>
          <t xml:space="preserve"> </t>
        </is>
      </c>
      <c r="Y45" s="97" t="inlineStr">
        <is>
          <t xml:space="preserve"> </t>
        </is>
      </c>
      <c r="Z45" s="97" t="inlineStr">
        <is>
          <t xml:space="preserve"> </t>
        </is>
      </c>
      <c r="AA45" s="97" t="inlineStr">
        <is>
          <t xml:space="preserve"> </t>
        </is>
      </c>
      <c r="AB45" s="97" t="inlineStr">
        <is>
          <t xml:space="preserve"> </t>
        </is>
      </c>
      <c r="AC45" s="97" t="inlineStr">
        <is>
          <t xml:space="preserve"> </t>
        </is>
      </c>
      <c r="AD45" s="98" t="inlineStr">
        <is>
          <t xml:space="preserve"> </t>
        </is>
      </c>
      <c r="AI45" s="99" t="n"/>
      <c r="AJ45" s="99" t="n"/>
      <c r="AK45" s="99" t="n"/>
      <c r="AL45" s="99" t="n"/>
      <c r="AN45" s="100" t="n"/>
    </row>
    <row r="46">
      <c r="B46" s="10" t="inlineStr">
        <is>
          <t>B</t>
        </is>
      </c>
      <c r="C46" s="213" t="inlineStr">
        <is>
          <t>ChatPRD</t>
        </is>
      </c>
      <c r="D46" s="250" t="n"/>
      <c r="E46" s="19" t="n">
        <v>2500</v>
      </c>
      <c r="F46" s="19" t="n">
        <v>0.82</v>
      </c>
      <c r="G46" s="19" t="n">
        <v>1000</v>
      </c>
      <c r="H46" s="19" t="n">
        <v>3</v>
      </c>
      <c r="I46" s="19" t="n">
        <v>1</v>
      </c>
      <c r="J46" s="19" t="n">
        <v>99.5</v>
      </c>
      <c r="K46" s="19" t="n">
        <v>0.75</v>
      </c>
      <c r="L46" s="19" t="n">
        <v>2</v>
      </c>
      <c r="M46" s="19" t="n">
        <v>10</v>
      </c>
      <c r="N46" s="19" t="n">
        <v>500</v>
      </c>
      <c r="O46" s="19" t="n">
        <v>29</v>
      </c>
      <c r="P46" s="19" t="n">
        <v>15</v>
      </c>
      <c r="Q46" s="19" t="inlineStr">
        <is>
          <t xml:space="preserve"> </t>
        </is>
      </c>
      <c r="R46" s="19" t="inlineStr">
        <is>
          <t xml:space="preserve"> </t>
        </is>
      </c>
      <c r="S46" s="19" t="inlineStr">
        <is>
          <t xml:space="preserve"> </t>
        </is>
      </c>
      <c r="T46" s="19" t="inlineStr">
        <is>
          <t xml:space="preserve"> </t>
        </is>
      </c>
      <c r="U46" s="19" t="inlineStr">
        <is>
          <t xml:space="preserve"> </t>
        </is>
      </c>
      <c r="V46" s="19" t="inlineStr">
        <is>
          <t xml:space="preserve"> </t>
        </is>
      </c>
      <c r="W46" s="19" t="inlineStr">
        <is>
          <t xml:space="preserve"> </t>
        </is>
      </c>
      <c r="X46" s="19" t="inlineStr">
        <is>
          <t xml:space="preserve"> </t>
        </is>
      </c>
      <c r="Y46" s="19" t="inlineStr">
        <is>
          <t xml:space="preserve"> </t>
        </is>
      </c>
      <c r="Z46" s="19" t="inlineStr">
        <is>
          <t xml:space="preserve"> </t>
        </is>
      </c>
      <c r="AA46" s="19" t="inlineStr">
        <is>
          <t xml:space="preserve"> </t>
        </is>
      </c>
      <c r="AB46" s="101" t="inlineStr">
        <is>
          <t xml:space="preserve"> </t>
        </is>
      </c>
      <c r="AC46" s="101" t="inlineStr">
        <is>
          <t xml:space="preserve"> </t>
        </is>
      </c>
      <c r="AD46" s="102" t="inlineStr">
        <is>
          <t xml:space="preserve"> </t>
        </is>
      </c>
    </row>
    <row r="47">
      <c r="B47" s="10" t="inlineStr">
        <is>
          <t>C</t>
        </is>
      </c>
      <c r="C47" s="213" t="inlineStr">
        <is>
          <t>Notion AI</t>
        </is>
      </c>
      <c r="D47" s="250" t="n"/>
      <c r="E47" s="19" t="n">
        <v>1800</v>
      </c>
      <c r="F47" s="19" t="n">
        <v>0.78</v>
      </c>
      <c r="G47" s="19" t="n">
        <v>100000</v>
      </c>
      <c r="H47" s="19" t="n">
        <v>25</v>
      </c>
      <c r="I47" s="19" t="n">
        <v>2</v>
      </c>
      <c r="J47" s="19" t="n">
        <v>99.90000000000001</v>
      </c>
      <c r="K47" s="19" t="n">
        <v>0.7</v>
      </c>
      <c r="L47" s="19" t="n">
        <v>1</v>
      </c>
      <c r="M47" s="19" t="n">
        <v>50</v>
      </c>
      <c r="N47" s="19" t="n">
        <v>200</v>
      </c>
      <c r="O47" s="19" t="n">
        <v>10</v>
      </c>
      <c r="P47" s="19" t="n">
        <v>5</v>
      </c>
      <c r="Q47" s="19" t="inlineStr">
        <is>
          <t xml:space="preserve"> </t>
        </is>
      </c>
      <c r="R47" s="19" t="inlineStr">
        <is>
          <t xml:space="preserve"> </t>
        </is>
      </c>
      <c r="S47" s="19" t="inlineStr">
        <is>
          <t xml:space="preserve"> </t>
        </is>
      </c>
      <c r="T47" s="19" t="inlineStr">
        <is>
          <t xml:space="preserve"> </t>
        </is>
      </c>
      <c r="U47" s="19" t="inlineStr">
        <is>
          <t xml:space="preserve"> </t>
        </is>
      </c>
      <c r="V47" s="19" t="inlineStr">
        <is>
          <t xml:space="preserve"> </t>
        </is>
      </c>
      <c r="W47" s="19" t="inlineStr">
        <is>
          <t xml:space="preserve"> </t>
        </is>
      </c>
      <c r="X47" s="19" t="inlineStr">
        <is>
          <t xml:space="preserve"> </t>
        </is>
      </c>
      <c r="Y47" s="19" t="inlineStr">
        <is>
          <t xml:space="preserve"> </t>
        </is>
      </c>
      <c r="Z47" s="19" t="inlineStr">
        <is>
          <t xml:space="preserve"> </t>
        </is>
      </c>
      <c r="AA47" s="19" t="inlineStr">
        <is>
          <t xml:space="preserve"> </t>
        </is>
      </c>
      <c r="AB47" s="19" t="inlineStr">
        <is>
          <t xml:space="preserve"> </t>
        </is>
      </c>
      <c r="AC47" s="19" t="inlineStr">
        <is>
          <t xml:space="preserve"> </t>
        </is>
      </c>
      <c r="AD47" s="102" t="inlineStr">
        <is>
          <t xml:space="preserve"> </t>
        </is>
      </c>
      <c r="AH47" s="17" t="n"/>
    </row>
    <row r="48">
      <c r="B48" s="10" t="n"/>
      <c r="C48" s="213" t="inlineStr">
        <is>
          <t>(External) Requirement Thresholds</t>
        </is>
      </c>
      <c r="D48" s="250" t="n"/>
      <c r="E48" s="19" t="inlineStr">
        <is>
          <t>≤ 5000</t>
        </is>
      </c>
      <c r="F48" s="19" t="inlineStr">
        <is>
          <t>≥ 0.75</t>
        </is>
      </c>
      <c r="G48" s="19" t="inlineStr">
        <is>
          <t>≥ 500</t>
        </is>
      </c>
      <c r="H48" s="19" t="inlineStr">
        <is>
          <t>≥ 5</t>
        </is>
      </c>
      <c r="I48" s="19" t="inlineStr">
        <is>
          <t>≥ 1 (SOC2)</t>
        </is>
      </c>
      <c r="J48" s="19" t="inlineStr">
        <is>
          <t>≥ 99.5</t>
        </is>
      </c>
      <c r="K48" s="19" t="inlineStr">
        <is>
          <t>≥ 0.70</t>
        </is>
      </c>
      <c r="L48" s="19" t="inlineStr">
        <is>
          <t>≥ 2</t>
        </is>
      </c>
      <c r="M48" s="19" t="inlineStr">
        <is>
          <t>≥ 20</t>
        </is>
      </c>
      <c r="N48" s="19" t="inlineStr">
        <is>
          <t>≤ 1000</t>
        </is>
      </c>
      <c r="O48" s="19" t="inlineStr">
        <is>
          <t>≤ 50</t>
        </is>
      </c>
      <c r="P48" s="19" t="inlineStr">
        <is>
          <t>≤ 30</t>
        </is>
      </c>
      <c r="Q48" s="19" t="inlineStr">
        <is>
          <t xml:space="preserve"> </t>
        </is>
      </c>
      <c r="R48" s="19" t="inlineStr">
        <is>
          <t xml:space="preserve"> </t>
        </is>
      </c>
      <c r="S48" s="19" t="inlineStr">
        <is>
          <t xml:space="preserve"> </t>
        </is>
      </c>
      <c r="T48" s="19" t="inlineStr">
        <is>
          <t xml:space="preserve"> </t>
        </is>
      </c>
      <c r="U48" s="19" t="inlineStr">
        <is>
          <t xml:space="preserve"> </t>
        </is>
      </c>
      <c r="V48" s="19" t="inlineStr">
        <is>
          <t xml:space="preserve"> </t>
        </is>
      </c>
      <c r="W48" s="19" t="inlineStr">
        <is>
          <t xml:space="preserve"> </t>
        </is>
      </c>
      <c r="X48" s="19" t="inlineStr">
        <is>
          <t xml:space="preserve"> </t>
        </is>
      </c>
      <c r="Y48" s="19" t="inlineStr">
        <is>
          <t xml:space="preserve"> </t>
        </is>
      </c>
      <c r="Z48" s="19" t="inlineStr">
        <is>
          <t xml:space="preserve"> </t>
        </is>
      </c>
      <c r="AA48" s="19" t="inlineStr">
        <is>
          <t xml:space="preserve"> </t>
        </is>
      </c>
      <c r="AB48" s="19" t="inlineStr">
        <is>
          <t xml:space="preserve"> </t>
        </is>
      </c>
      <c r="AC48" s="19" t="inlineStr">
        <is>
          <t xml:space="preserve"> </t>
        </is>
      </c>
      <c r="AD48" s="102" t="inlineStr">
        <is>
          <t xml:space="preserve"> </t>
        </is>
      </c>
      <c r="AH48" s="17" t="n"/>
    </row>
    <row r="49">
      <c r="B49" s="10" t="n"/>
      <c r="C49" s="221" t="inlineStr">
        <is>
          <t>Targets</t>
        </is>
      </c>
      <c r="D49" s="250" t="n"/>
      <c r="E49" s="103" t="n">
        <v>1500</v>
      </c>
      <c r="F49" s="103" t="n">
        <v>0.88</v>
      </c>
      <c r="G49" s="103" t="n">
        <v>5000</v>
      </c>
      <c r="H49" s="103" t="n">
        <v>15</v>
      </c>
      <c r="I49" s="103" t="n">
        <v>2</v>
      </c>
      <c r="J49" s="103" t="n">
        <v>99.90000000000001</v>
      </c>
      <c r="K49" s="103" t="n">
        <v>0.85</v>
      </c>
      <c r="L49" s="103" t="n">
        <v>4</v>
      </c>
      <c r="M49" s="103" t="n">
        <v>40</v>
      </c>
      <c r="N49" s="103" t="n">
        <v>300</v>
      </c>
      <c r="O49" s="103" t="n">
        <v>20</v>
      </c>
      <c r="P49" s="103" t="n">
        <v>8</v>
      </c>
      <c r="Q49" s="103" t="inlineStr">
        <is>
          <t xml:space="preserve"> </t>
        </is>
      </c>
      <c r="R49" s="103" t="inlineStr">
        <is>
          <t xml:space="preserve"> </t>
        </is>
      </c>
      <c r="S49" s="103" t="inlineStr">
        <is>
          <t xml:space="preserve"> </t>
        </is>
      </c>
      <c r="T49" s="103" t="inlineStr">
        <is>
          <t xml:space="preserve"> </t>
        </is>
      </c>
      <c r="U49" s="103" t="inlineStr">
        <is>
          <t xml:space="preserve"> </t>
        </is>
      </c>
      <c r="V49" s="103" t="inlineStr">
        <is>
          <t xml:space="preserve"> </t>
        </is>
      </c>
      <c r="W49" s="103" t="inlineStr">
        <is>
          <t xml:space="preserve"> </t>
        </is>
      </c>
      <c r="X49" s="103" t="inlineStr">
        <is>
          <t xml:space="preserve"> </t>
        </is>
      </c>
      <c r="Y49" s="103" t="inlineStr">
        <is>
          <t xml:space="preserve"> </t>
        </is>
      </c>
      <c r="Z49" s="103" t="inlineStr">
        <is>
          <t xml:space="preserve"> </t>
        </is>
      </c>
      <c r="AA49" s="103" t="inlineStr">
        <is>
          <t xml:space="preserve"> </t>
        </is>
      </c>
      <c r="AB49" s="103" t="inlineStr">
        <is>
          <t xml:space="preserve"> </t>
        </is>
      </c>
      <c r="AC49" s="103" t="inlineStr">
        <is>
          <t xml:space="preserve"> </t>
        </is>
      </c>
      <c r="AD49" s="104" t="inlineStr">
        <is>
          <t xml:space="preserve"> </t>
        </is>
      </c>
      <c r="AH49" s="17" t="n"/>
    </row>
    <row r="50">
      <c r="B50" s="10" t="n"/>
      <c r="C50" s="213" t="inlineStr">
        <is>
          <t>Imputed Importance</t>
        </is>
      </c>
      <c r="D50" s="250" t="n"/>
      <c r="E50" s="105">
        <f>SUMPRODUCT((ABS(E33:E44)), $D33:$D44)</f>
        <v/>
      </c>
      <c r="F50" s="105">
        <f>SUMPRODUCT((ABS(F33:F44)), $D33:$D44)</f>
        <v/>
      </c>
      <c r="G50" s="105">
        <f>SUMPRODUCT((ABS(G33:G44)), $D33:$D44)</f>
        <v/>
      </c>
      <c r="H50" s="105">
        <f>SUMPRODUCT((ABS(H33:H44)), $D33:$D44)</f>
        <v/>
      </c>
      <c r="I50" s="105">
        <f>SUMPRODUCT((ABS(I33:I44)), $D33:$D44)</f>
        <v/>
      </c>
      <c r="J50" s="105">
        <f>SUMPRODUCT((ABS(J33:J44)), $D33:$D44)</f>
        <v/>
      </c>
      <c r="K50" s="105">
        <f>SUMPRODUCT((ABS(K33:K44)), $D33:$D44)</f>
        <v/>
      </c>
      <c r="L50" s="105">
        <f>SUMPRODUCT((ABS(L33:L44)), $D33:$D44)</f>
        <v/>
      </c>
      <c r="M50" s="105">
        <f>SUMPRODUCT((ABS(M33:M44)), $D33:$D44)</f>
        <v/>
      </c>
      <c r="N50" s="105">
        <f>SUMPRODUCT((ABS(N33:N44)), $D33:$D44)</f>
        <v/>
      </c>
      <c r="O50" s="105">
        <f>SUMPRODUCT((ABS(O33:O44)), $D33:$D44)</f>
        <v/>
      </c>
      <c r="P50" s="105">
        <f>SUMPRODUCT((ABS(P33:P44)), $D33:$D44)</f>
        <v/>
      </c>
      <c r="Q50" s="105">
        <f>SUMPRODUCT((ABS(Q33:Q44)), $D33:$D44)</f>
        <v/>
      </c>
      <c r="R50" s="105">
        <f>SUMPRODUCT((ABS(R33:R44)), $D33:$D44)</f>
        <v/>
      </c>
      <c r="S50" s="105">
        <f>SUMPRODUCT((ABS(S33:S44)), $D33:$D44)</f>
        <v/>
      </c>
      <c r="T50" s="105">
        <f>SUMPRODUCT((ABS(T33:T44)), $D33:$D44)</f>
        <v/>
      </c>
      <c r="U50" s="105">
        <f>SUMPRODUCT((ABS(U33:U44)), $D33:$D44)</f>
        <v/>
      </c>
      <c r="V50" s="105">
        <f>SUMPRODUCT((ABS(V33:V44)), $D33:$D44)</f>
        <v/>
      </c>
      <c r="W50" s="105">
        <f>SUMPRODUCT((ABS(W33:W44)), $D33:$D44)</f>
        <v/>
      </c>
      <c r="X50" s="105">
        <f>SUMPRODUCT((ABS(X33:X44)), $D33:$D44)</f>
        <v/>
      </c>
      <c r="Y50" s="105">
        <f>SUMPRODUCT((ABS(Y33:Y44)), $D33:$D44)</f>
        <v/>
      </c>
      <c r="Z50" s="105">
        <f>SUMPRODUCT((ABS(Z33:Z44)), $D33:$D44)</f>
        <v/>
      </c>
      <c r="AA50" s="105">
        <f>SUMPRODUCT((ABS(AA33:AA44)), $D33:$D44)</f>
        <v/>
      </c>
      <c r="AB50" s="105">
        <f>SUMPRODUCT((ABS(AB33:AB44)), $D33:$D44)</f>
        <v/>
      </c>
      <c r="AC50" s="105">
        <f>SUMPRODUCT((ABS(AC33:AC44)), $D33:$D44)</f>
        <v/>
      </c>
      <c r="AD50" s="106">
        <f>SUMPRODUCT((ABS(AD33:AD44)), $D33:$D44)</f>
        <v/>
      </c>
      <c r="AH50" s="17" t="n"/>
    </row>
    <row r="51">
      <c r="B51" s="10" t="n"/>
      <c r="C51" s="213" t="inlineStr">
        <is>
          <t>Positive Imputed Importance</t>
        </is>
      </c>
      <c r="D51" s="250" t="n"/>
      <c r="E51" s="19">
        <f>(SUMPRODUCT(E33:E44, $D33:$D44) + SUMPRODUCT((ABS(E33:E44)), $D33:$D44))/2</f>
        <v/>
      </c>
      <c r="F51" s="19">
        <f>(SUMPRODUCT(F33:F44, $D33:$D44) + SUMPRODUCT((ABS(F33:F44)), $D33:$D44))/2</f>
        <v/>
      </c>
      <c r="G51" s="19">
        <f>(SUMPRODUCT(G33:G44, $D33:$D44) + SUMPRODUCT((ABS(G33:G44)), $D33:$D44))/2</f>
        <v/>
      </c>
      <c r="H51" s="19">
        <f>(SUMPRODUCT(H33:H44, $D33:$D44) + SUMPRODUCT((ABS(H33:H44)), $D33:$D44))/2</f>
        <v/>
      </c>
      <c r="I51" s="19">
        <f>(SUMPRODUCT(I33:I44, $D33:$D44) + SUMPRODUCT((ABS(I33:I44)), $D33:$D44))/2</f>
        <v/>
      </c>
      <c r="J51" s="19">
        <f>(SUMPRODUCT(J33:J44, $D33:$D44) + SUMPRODUCT((ABS(J33:J44)), $D33:$D44))/2</f>
        <v/>
      </c>
      <c r="K51" s="19">
        <f>(SUMPRODUCT(K33:K44, $D33:$D44) + SUMPRODUCT((ABS(K33:K44)), $D33:$D44))/2</f>
        <v/>
      </c>
      <c r="L51" s="19">
        <f>(SUMPRODUCT(L33:L44, $D33:$D44) + SUMPRODUCT((ABS(L33:L44)), $D33:$D44))/2</f>
        <v/>
      </c>
      <c r="M51" s="19">
        <f>(SUMPRODUCT(M33:M44, $D33:$D44) + SUMPRODUCT((ABS(M33:M44)), $D33:$D44))/2</f>
        <v/>
      </c>
      <c r="N51" s="19">
        <f>(SUMPRODUCT(N33:N44, $D33:$D44) + SUMPRODUCT((ABS(N33:N44)), $D33:$D44))/2</f>
        <v/>
      </c>
      <c r="O51" s="19">
        <f>(SUMPRODUCT(O33:O44, $D33:$D44) + SUMPRODUCT((ABS(O33:O44)), $D33:$D44))/2</f>
        <v/>
      </c>
      <c r="P51" s="19">
        <f>(SUMPRODUCT(P33:P44, $D33:$D44) + SUMPRODUCT((ABS(P33:P44)), $D33:$D44))/2</f>
        <v/>
      </c>
      <c r="Q51" s="19">
        <f>(SUMPRODUCT(Q33:Q44, $D33:$D44) + SUMPRODUCT((ABS(Q33:Q44)), $D33:$D44))/2</f>
        <v/>
      </c>
      <c r="R51" s="19">
        <f>(SUMPRODUCT(R33:R44, $D33:$D44) + SUMPRODUCT((ABS(R33:R44)), $D33:$D44))/2</f>
        <v/>
      </c>
      <c r="S51" s="19">
        <f>(SUMPRODUCT(S33:S44, $D33:$D44) + SUMPRODUCT((ABS(S33:S44)), $D33:$D44))/2</f>
        <v/>
      </c>
      <c r="T51" s="19">
        <f>(SUMPRODUCT(T33:T44, $D33:$D44) + SUMPRODUCT((ABS(T33:T44)), $D33:$D44))/2</f>
        <v/>
      </c>
      <c r="U51" s="19">
        <f>(SUMPRODUCT(U33:U44, $D33:$D44) + SUMPRODUCT((ABS(U33:U44)), $D33:$D44))/2</f>
        <v/>
      </c>
      <c r="V51" s="19">
        <f>(SUMPRODUCT(V33:V44, $D33:$D44) + SUMPRODUCT((ABS(V33:V44)), $D33:$D44))/2</f>
        <v/>
      </c>
      <c r="W51" s="19">
        <f>(SUMPRODUCT(W33:W44, $D33:$D44) + SUMPRODUCT((ABS(W33:W44)), $D33:$D44))/2</f>
        <v/>
      </c>
      <c r="X51" s="19">
        <f>(SUMPRODUCT(X33:X44, $D33:$D44) + SUMPRODUCT((ABS(X33:X44)), $D33:$D44))/2</f>
        <v/>
      </c>
      <c r="Y51" s="19">
        <f>(SUMPRODUCT(Y33:Y44, $D33:$D44) + SUMPRODUCT((ABS(Y33:Y44)), $D33:$D44))/2</f>
        <v/>
      </c>
      <c r="Z51" s="19">
        <f>(SUMPRODUCT(Z33:Z44, $D33:$D44) + SUMPRODUCT((ABS(Z33:Z44)), $D33:$D44))/2</f>
        <v/>
      </c>
      <c r="AA51" s="19">
        <f>(SUMPRODUCT(AA33:AA44, $D33:$D44) + SUMPRODUCT((ABS(AA33:AA44)), $D33:$D44))/2</f>
        <v/>
      </c>
      <c r="AB51" s="19">
        <f>(SUMPRODUCT(AB33:AB44, $D33:$D44) + SUMPRODUCT((ABS(AB33:AB44)), $D33:$D44))/2</f>
        <v/>
      </c>
      <c r="AC51" s="19">
        <f>(SUMPRODUCT(AC33:AC44, $D33:$D44) + SUMPRODUCT((ABS(AC33:AC44)), $D33:$D44))/2</f>
        <v/>
      </c>
      <c r="AD51" s="102">
        <f>(SUMPRODUCT(AD33:AD44, $D33:$D44) + SUMPRODUCT((ABS(AD33:AD44)), $D33:$D44))/2</f>
        <v/>
      </c>
      <c r="AH51" s="17" t="n"/>
    </row>
    <row r="52">
      <c r="B52" s="10" t="n"/>
      <c r="C52" s="213" t="inlineStr">
        <is>
          <t>Negative Imputed Importance</t>
        </is>
      </c>
      <c r="D52" s="250" t="n"/>
      <c r="E52" s="19">
        <f>(-SUMPRODUCT(E33:E44, $D33:$D44)+SUMPRODUCT(ABS(E33:E44), $D33:$D44))/2</f>
        <v/>
      </c>
      <c r="F52" s="19">
        <f>(-SUMPRODUCT(F33:F44, $D33:$D44)+SUMPRODUCT(ABS(F33:F44), $D33:$D44))/2</f>
        <v/>
      </c>
      <c r="G52" s="19">
        <f>(-SUMPRODUCT(G33:G44, $D33:$D44)+SUMPRODUCT(ABS(G33:G44), $D33:$D44))/2</f>
        <v/>
      </c>
      <c r="H52" s="19">
        <f>(-SUMPRODUCT(H33:H44, $D33:$D44)+SUMPRODUCT(ABS(H33:H44), $D33:$D44))/2</f>
        <v/>
      </c>
      <c r="I52" s="19">
        <f>(-SUMPRODUCT(I33:I44, $D33:$D44)+SUMPRODUCT(ABS(I33:I44), $D33:$D44))/2</f>
        <v/>
      </c>
      <c r="J52" s="19">
        <f>(-SUMPRODUCT(J33:J44, $D33:$D44)+SUMPRODUCT(ABS(J33:J44), $D33:$D44))/2</f>
        <v/>
      </c>
      <c r="K52" s="19">
        <f>(-SUMPRODUCT(K33:K44, $D33:$D44)+SUMPRODUCT(ABS(K33:K44), $D33:$D44))/2</f>
        <v/>
      </c>
      <c r="L52" s="19">
        <f>(-SUMPRODUCT(L33:L44, $D33:$D44)+SUMPRODUCT(ABS(L33:L44), $D33:$D44))/2</f>
        <v/>
      </c>
      <c r="M52" s="19">
        <f>(-SUMPRODUCT(M33:M44, $D33:$D44)+SUMPRODUCT(ABS(M33:M44), $D33:$D44))/2</f>
        <v/>
      </c>
      <c r="N52" s="19">
        <f>(-SUMPRODUCT(N33:N44, $D33:$D44)+SUMPRODUCT(ABS(N33:N44), $D33:$D44))/2</f>
        <v/>
      </c>
      <c r="O52" s="19">
        <f>(-SUMPRODUCT(O33:O44, $D33:$D44)+SUMPRODUCT(ABS(O33:O44), $D33:$D44))/2</f>
        <v/>
      </c>
      <c r="P52" s="19">
        <f>(-SUMPRODUCT(P33:P44, $D33:$D44)+SUMPRODUCT(ABS(P33:P44), $D33:$D44))/2</f>
        <v/>
      </c>
      <c r="Q52" s="19">
        <f>(-SUMPRODUCT(Q33:Q44, $D33:$D44)+SUMPRODUCT(ABS(Q33:Q44), $D33:$D44))/2</f>
        <v/>
      </c>
      <c r="R52" s="19">
        <f>(-SUMPRODUCT(R33:R44, $D33:$D44)+SUMPRODUCT(ABS(R33:R44), $D33:$D44))/2</f>
        <v/>
      </c>
      <c r="S52" s="19">
        <f>(-SUMPRODUCT(S33:S44, $D33:$D44)+SUMPRODUCT(ABS(S33:S44), $D33:$D44))/2</f>
        <v/>
      </c>
      <c r="T52" s="19">
        <f>(-SUMPRODUCT(T33:T44, $D33:$D44)+SUMPRODUCT(ABS(T33:T44), $D33:$D44))/2</f>
        <v/>
      </c>
      <c r="U52" s="19">
        <f>(-SUMPRODUCT(U33:U44, $D33:$D44)+SUMPRODUCT(ABS(U33:U44), $D33:$D44))/2</f>
        <v/>
      </c>
      <c r="V52" s="19">
        <f>(-SUMPRODUCT(V33:V44, $D33:$D44)+SUMPRODUCT(ABS(V33:V44), $D33:$D44))/2</f>
        <v/>
      </c>
      <c r="W52" s="19">
        <f>(-SUMPRODUCT(W33:W44, $D33:$D44)+SUMPRODUCT(ABS(W33:W44), $D33:$D44))/2</f>
        <v/>
      </c>
      <c r="X52" s="19">
        <f>(-SUMPRODUCT(X33:X44, $D33:$D44)+SUMPRODUCT(ABS(X33:X44), $D33:$D44))/2</f>
        <v/>
      </c>
      <c r="Y52" s="19">
        <f>(-SUMPRODUCT(Y33:Y44, $D33:$D44)+SUMPRODUCT(ABS(Y33:Y44), $D33:$D44))/2</f>
        <v/>
      </c>
      <c r="Z52" s="19">
        <f>(-SUMPRODUCT(Z33:Z44, $D33:$D44)+SUMPRODUCT(ABS(Z33:Z44), $D33:$D44))/2</f>
        <v/>
      </c>
      <c r="AA52" s="19">
        <f>(-SUMPRODUCT(AA33:AA44, $D33:$D44)+SUMPRODUCT(ABS(AA33:AA44), $D33:$D44))/2</f>
        <v/>
      </c>
      <c r="AB52" s="19">
        <f>(-SUMPRODUCT(AB33:AB44, $D33:$D44)+SUMPRODUCT(ABS(AB33:AB44), $D33:$D44))/2</f>
        <v/>
      </c>
      <c r="AC52" s="19">
        <f>(-SUMPRODUCT(AC33:AC44, $D33:$D44)+SUMPRODUCT(ABS(AC33:AC44), $D33:$D44))/2</f>
        <v/>
      </c>
      <c r="AD52" s="102">
        <f>(-SUMPRODUCT(AD33:AD44, $D33:$D44)+SUMPRODUCT(ABS(AD33:AD44), $D33:$D44))/2</f>
        <v/>
      </c>
      <c r="AH52" s="17" t="n"/>
    </row>
    <row r="53">
      <c r="C53" s="213" t="inlineStr">
        <is>
          <t>Technical Difficulty (1 Low, 5 High)</t>
        </is>
      </c>
      <c r="D53" s="250" t="n"/>
      <c r="E53" s="19" t="n">
        <v>3</v>
      </c>
      <c r="F53" s="19" t="n">
        <v>5</v>
      </c>
      <c r="G53" s="19" t="n">
        <v>4</v>
      </c>
      <c r="H53" s="19" t="n">
        <v>3</v>
      </c>
      <c r="I53" s="19" t="n">
        <v>4</v>
      </c>
      <c r="J53" s="19" t="n">
        <v>4</v>
      </c>
      <c r="K53" s="19" t="n">
        <v>5</v>
      </c>
      <c r="L53" s="19" t="n">
        <v>5</v>
      </c>
      <c r="M53" s="19" t="n">
        <v>2</v>
      </c>
      <c r="N53" s="19" t="n">
        <v>3</v>
      </c>
      <c r="O53" s="19" t="n">
        <v>3</v>
      </c>
      <c r="P53" s="19" t="n">
        <v>2</v>
      </c>
      <c r="Q53" s="19" t="n"/>
      <c r="R53" s="19" t="n"/>
      <c r="S53" s="19" t="n"/>
      <c r="T53" s="19" t="n"/>
      <c r="U53" s="19" t="n"/>
      <c r="V53" s="19" t="n"/>
      <c r="W53" s="19" t="n"/>
      <c r="X53" s="19" t="inlineStr">
        <is>
          <t xml:space="preserve"> </t>
        </is>
      </c>
      <c r="Y53" s="19" t="inlineStr">
        <is>
          <t xml:space="preserve"> </t>
        </is>
      </c>
      <c r="Z53" s="19" t="inlineStr">
        <is>
          <t xml:space="preserve"> </t>
        </is>
      </c>
      <c r="AA53" s="19" t="inlineStr">
        <is>
          <t xml:space="preserve"> </t>
        </is>
      </c>
      <c r="AB53" s="19" t="inlineStr">
        <is>
          <t xml:space="preserve"> </t>
        </is>
      </c>
      <c r="AC53" s="19" t="inlineStr">
        <is>
          <t xml:space="preserve"> </t>
        </is>
      </c>
      <c r="AD53" s="102" t="inlineStr">
        <is>
          <t xml:space="preserve"> </t>
        </is>
      </c>
      <c r="AH53" s="17" t="n"/>
    </row>
    <row r="54" ht="17" customHeight="1" thickBot="1">
      <c r="C54" s="217" t="inlineStr">
        <is>
          <t>Estimated Cost (1 Low, 5 High)</t>
        </is>
      </c>
      <c r="D54" s="251" t="n"/>
      <c r="E54" s="107" t="n">
        <v>3</v>
      </c>
      <c r="F54" s="107" t="n">
        <v>5</v>
      </c>
      <c r="G54" s="107" t="n">
        <v>4</v>
      </c>
      <c r="H54" s="107" t="n">
        <v>2</v>
      </c>
      <c r="I54" s="107" t="n">
        <v>4</v>
      </c>
      <c r="J54" s="107" t="n">
        <v>3</v>
      </c>
      <c r="K54" s="107" t="n">
        <v>4</v>
      </c>
      <c r="L54" s="107" t="n">
        <v>3</v>
      </c>
      <c r="M54" s="107" t="n">
        <v>2</v>
      </c>
      <c r="N54" s="107" t="n">
        <v>2</v>
      </c>
      <c r="O54" s="107" t="n">
        <v>3</v>
      </c>
      <c r="P54" s="107" t="n">
        <v>1</v>
      </c>
      <c r="Q54" s="107" t="n"/>
      <c r="R54" s="107" t="n"/>
      <c r="S54" s="107" t="n"/>
      <c r="T54" s="107" t="n"/>
      <c r="U54" s="107" t="n"/>
      <c r="V54" s="107" t="n"/>
      <c r="W54" s="107" t="n"/>
      <c r="X54" s="107" t="inlineStr">
        <is>
          <t xml:space="preserve"> </t>
        </is>
      </c>
      <c r="Y54" s="107" t="inlineStr">
        <is>
          <t xml:space="preserve"> </t>
        </is>
      </c>
      <c r="Z54" s="107" t="inlineStr">
        <is>
          <t xml:space="preserve"> </t>
        </is>
      </c>
      <c r="AA54" s="107" t="inlineStr">
        <is>
          <t xml:space="preserve"> </t>
        </is>
      </c>
      <c r="AB54" s="107" t="inlineStr">
        <is>
          <t xml:space="preserve"> </t>
        </is>
      </c>
      <c r="AC54" s="107" t="inlineStr">
        <is>
          <t xml:space="preserve"> </t>
        </is>
      </c>
      <c r="AD54" s="108" t="inlineStr">
        <is>
          <t xml:space="preserve"> </t>
        </is>
      </c>
      <c r="AH54" s="17" t="n"/>
    </row>
    <row r="55">
      <c r="AH55" s="17" t="n"/>
    </row>
    <row r="56">
      <c r="AH56" s="17" t="n"/>
      <c r="AN56" s="9" t="n"/>
    </row>
    <row r="57">
      <c r="AH57" s="17" t="n"/>
      <c r="AM57" s="17" t="n"/>
    </row>
    <row r="58">
      <c r="AH58" s="17" t="n"/>
      <c r="AM58" s="17" t="n"/>
    </row>
    <row r="59">
      <c r="AM59" s="17" t="n"/>
    </row>
    <row r="60">
      <c r="AM60" s="17" t="n"/>
    </row>
    <row r="61">
      <c r="AM61" s="17" t="n"/>
    </row>
    <row r="62">
      <c r="AM62" s="17" t="n"/>
    </row>
  </sheetData>
  <mergeCells count="17">
    <mergeCell ref="AJ31:AN31"/>
    <mergeCell ref="B2:C2"/>
    <mergeCell ref="C46:D46"/>
    <mergeCell ref="C47:D47"/>
    <mergeCell ref="C54:D54"/>
    <mergeCell ref="B4:C4"/>
    <mergeCell ref="B19:C19"/>
    <mergeCell ref="C51:D51"/>
    <mergeCell ref="AE30:AL30"/>
    <mergeCell ref="C50:D50"/>
    <mergeCell ref="C45:D45"/>
    <mergeCell ref="AE29:AH29"/>
    <mergeCell ref="C52:D52"/>
    <mergeCell ref="C53:D53"/>
    <mergeCell ref="C48:D48"/>
    <mergeCell ref="AE31:AI31"/>
    <mergeCell ref="C49:D49"/>
  </mergeCells>
  <printOptions horizontalCentered="1" verticalCentered="1"/>
  <pageMargins left="0" right="0" top="0" bottom="0.25" header="0.05" footer="0.05"/>
  <pageSetup orientation="landscape" scale="37"/>
</worksheet>
</file>

<file path=xl/worksheets/sheet2.xml><?xml version="1.0" encoding="utf-8"?>
<worksheet xmlns="http://schemas.openxmlformats.org/spreadsheetml/2006/main">
  <sheetPr>
    <outlinePr summaryBelow="1" summaryRight="1"/>
    <pageSetUpPr/>
  </sheetPr>
  <dimension ref="A1:AP71"/>
  <sheetViews>
    <sheetView topLeftCell="A26" zoomScale="72" zoomScaleNormal="72" zoomScalePageLayoutView="80" workbookViewId="0">
      <selection activeCell="H30" sqref="H30"/>
    </sheetView>
  </sheetViews>
  <sheetFormatPr baseColWidth="10" defaultColWidth="8.83203125" defaultRowHeight="16"/>
  <cols>
    <col width="8.83203125" customWidth="1" style="109" min="1" max="1"/>
    <col width="45.5" customWidth="1" style="109" min="2" max="2"/>
    <col width="29.5" customWidth="1" style="109" min="3" max="3"/>
    <col width="11.6640625" customWidth="1" style="109" min="4" max="4"/>
    <col width="4.6640625" customWidth="1" style="109" min="5" max="18"/>
    <col width="5.5" customWidth="1" style="109" min="19" max="19"/>
    <col width="4.6640625" customWidth="1" style="109" min="20" max="20"/>
    <col width="5.5" customWidth="1" style="109" min="21" max="21"/>
    <col width="4.6640625" customWidth="1" style="109" min="22" max="27"/>
    <col width="6.6640625" customWidth="1" style="109" min="28" max="28"/>
    <col width="6.83203125" customWidth="1" style="109" min="29" max="29"/>
    <col width="4.6640625" customWidth="1" style="109" min="30" max="30"/>
    <col width="8.83203125" customWidth="1" style="109" min="31" max="40"/>
    <col width="3.5" bestFit="1" customWidth="1" style="109" min="41" max="41"/>
    <col width="8.83203125" customWidth="1" style="109" min="42" max="16384"/>
  </cols>
  <sheetData>
    <row r="1">
      <c r="B1" s="110" t="inlineStr">
        <is>
          <t>Project Title</t>
        </is>
      </c>
    </row>
    <row r="2" ht="17" customHeight="1" thickBot="1">
      <c r="A2" s="111" t="inlineStr">
        <is>
          <t>A</t>
        </is>
      </c>
      <c r="B2" s="239" t="inlineStr">
        <is>
          <t xml:space="preserve">Robotic Vehicle </t>
        </is>
      </c>
      <c r="AP2" s="110" t="n"/>
    </row>
    <row r="3" ht="17" customHeight="1" thickBot="1">
      <c r="B3" s="110" t="inlineStr">
        <is>
          <t>Developed by</t>
        </is>
      </c>
      <c r="D3" s="109" t="n">
        <v>1</v>
      </c>
      <c r="E3" s="112">
        <f>E31</f>
        <v/>
      </c>
      <c r="F3" s="113">
        <f>E30</f>
        <v/>
      </c>
      <c r="AO3" s="114" t="n"/>
    </row>
    <row r="4" ht="17" customHeight="1" thickBot="1">
      <c r="B4" s="239" t="inlineStr">
        <is>
          <t>The Cornell Cup Team, advisor: Dr. David R. Schneider, drs44@cornell.edu</t>
        </is>
      </c>
      <c r="D4" s="109">
        <f>D3+1</f>
        <v/>
      </c>
      <c r="E4" s="115" t="n">
        <v>1</v>
      </c>
      <c r="F4" s="116">
        <f>F31</f>
        <v/>
      </c>
      <c r="G4" s="113">
        <f>F30</f>
        <v/>
      </c>
      <c r="AO4" s="114" t="n"/>
    </row>
    <row r="5" ht="17" customHeight="1" thickBot="1">
      <c r="B5" s="110" t="inlineStr">
        <is>
          <t>Last Updated</t>
        </is>
      </c>
      <c r="D5" s="109">
        <f>D4+1</f>
        <v/>
      </c>
      <c r="E5" s="115" t="n"/>
      <c r="F5" s="117" t="n"/>
      <c r="G5" s="116">
        <f>G31</f>
        <v/>
      </c>
      <c r="H5" s="113">
        <f>G30</f>
        <v/>
      </c>
      <c r="AO5" s="118" t="n"/>
    </row>
    <row r="6" ht="17" customHeight="1" thickBot="1">
      <c r="B6" s="119" t="n">
        <v>42587</v>
      </c>
      <c r="D6" s="109">
        <f>D5+1</f>
        <v/>
      </c>
      <c r="E6" s="115" t="n"/>
      <c r="F6" s="120" t="n"/>
      <c r="G6" s="117" t="n">
        <v>1</v>
      </c>
      <c r="H6" s="116">
        <f>H31</f>
        <v/>
      </c>
      <c r="I6" s="113">
        <f>H30</f>
        <v/>
      </c>
      <c r="AO6" s="118" t="n"/>
    </row>
    <row r="7" ht="17" customHeight="1" thickBot="1">
      <c r="B7" s="110" t="n"/>
      <c r="D7" s="109">
        <f>D6+1</f>
        <v/>
      </c>
      <c r="E7" s="115" t="n"/>
      <c r="F7" s="121" t="n"/>
      <c r="G7" s="120" t="n"/>
      <c r="H7" s="117" t="n">
        <v>1</v>
      </c>
      <c r="I7" s="116">
        <f>I31</f>
        <v/>
      </c>
      <c r="J7" s="113">
        <f>I30</f>
        <v/>
      </c>
      <c r="AO7" s="118" t="n"/>
    </row>
    <row r="8" ht="17" customHeight="1" thickBot="1">
      <c r="B8" s="110" t="n"/>
      <c r="D8" s="109">
        <f>D7+1</f>
        <v/>
      </c>
      <c r="E8" s="115" t="n"/>
      <c r="F8" s="121" t="n"/>
      <c r="G8" s="121" t="n"/>
      <c r="H8" s="120" t="n">
        <v>1</v>
      </c>
      <c r="I8" s="117" t="n"/>
      <c r="J8" s="122">
        <f>J31</f>
        <v/>
      </c>
      <c r="K8" s="113">
        <f>J30</f>
        <v/>
      </c>
      <c r="AO8" s="118" t="n"/>
    </row>
    <row r="9" ht="17" customHeight="1" thickBot="1">
      <c r="B9" s="110" t="n"/>
      <c r="D9" s="109">
        <f>D8+1</f>
        <v/>
      </c>
      <c r="E9" s="115" t="n"/>
      <c r="F9" s="121" t="n"/>
      <c r="G9" s="121" t="n"/>
      <c r="H9" s="120" t="n">
        <v>1</v>
      </c>
      <c r="I9" s="117" t="n"/>
      <c r="J9" s="123" t="n">
        <v>-1</v>
      </c>
      <c r="K9" s="116">
        <f>K31</f>
        <v/>
      </c>
      <c r="L9" s="113">
        <f>K30</f>
        <v/>
      </c>
      <c r="AO9" s="118" t="n"/>
    </row>
    <row r="10" ht="17" customHeight="1" thickBot="1">
      <c r="B10" s="110" t="inlineStr">
        <is>
          <t>Relationships</t>
        </is>
      </c>
      <c r="D10" s="109">
        <f>D9+1</f>
        <v/>
      </c>
      <c r="E10" s="115" t="n">
        <v>-1</v>
      </c>
      <c r="F10" s="121" t="n"/>
      <c r="G10" s="121" t="n">
        <v>1</v>
      </c>
      <c r="H10" s="120" t="n">
        <v>1</v>
      </c>
      <c r="I10" s="117" t="n"/>
      <c r="J10" s="123" t="n"/>
      <c r="K10" s="120" t="n"/>
      <c r="L10" s="116">
        <f>L31</f>
        <v/>
      </c>
      <c r="M10" s="113">
        <f>L30</f>
        <v/>
      </c>
      <c r="AO10" s="118" t="n"/>
    </row>
    <row r="11" ht="17" customHeight="1" thickBot="1">
      <c r="A11" s="114" t="inlineStr">
        <is>
          <t>+ +</t>
        </is>
      </c>
      <c r="B11" s="109" t="inlineStr">
        <is>
          <t>Strong Positive</t>
        </is>
      </c>
      <c r="D11" s="109">
        <f>D10+1</f>
        <v/>
      </c>
      <c r="E11" s="115" t="n">
        <v>-1</v>
      </c>
      <c r="F11" s="121" t="n"/>
      <c r="G11" s="121" t="n">
        <v>1</v>
      </c>
      <c r="H11" s="120" t="n">
        <v>1</v>
      </c>
      <c r="I11" s="117" t="n"/>
      <c r="J11" s="123" t="n"/>
      <c r="K11" s="120" t="n"/>
      <c r="L11" s="120" t="n"/>
      <c r="M11" s="116">
        <f>M31</f>
        <v/>
      </c>
      <c r="N11" s="113">
        <f>M30</f>
        <v/>
      </c>
      <c r="AO11" s="118" t="n"/>
    </row>
    <row r="12" ht="17" customHeight="1" thickBot="1">
      <c r="A12" s="114" t="inlineStr">
        <is>
          <t>+</t>
        </is>
      </c>
      <c r="B12" s="109" t="inlineStr">
        <is>
          <t>Positive</t>
        </is>
      </c>
      <c r="D12" s="109">
        <f>D11+1</f>
        <v/>
      </c>
      <c r="E12" s="115" t="n"/>
      <c r="F12" s="121" t="n"/>
      <c r="G12" s="121" t="n">
        <v>1</v>
      </c>
      <c r="H12" s="120" t="n"/>
      <c r="I12" s="117" t="n"/>
      <c r="J12" s="124" t="n"/>
      <c r="K12" s="117" t="n"/>
      <c r="L12" s="117" t="n">
        <v>2</v>
      </c>
      <c r="M12" s="117" t="n">
        <v>2</v>
      </c>
      <c r="N12" s="122">
        <f>N31</f>
        <v/>
      </c>
      <c r="O12" s="113">
        <f>N30</f>
        <v/>
      </c>
      <c r="AO12" s="118" t="n"/>
    </row>
    <row r="13" ht="17" customHeight="1" thickBot="1">
      <c r="A13" s="118" t="n"/>
      <c r="B13" s="109" t="inlineStr">
        <is>
          <t>Neutral, Not Applicable</t>
        </is>
      </c>
      <c r="D13" s="109">
        <f>D12+1</f>
        <v/>
      </c>
      <c r="E13" s="125" t="inlineStr">
        <is>
          <t>-1/1</t>
        </is>
      </c>
      <c r="F13" s="121" t="n">
        <v>1</v>
      </c>
      <c r="G13" s="121" t="n">
        <v>2</v>
      </c>
      <c r="H13" s="120" t="n"/>
      <c r="I13" s="117" t="n"/>
      <c r="J13" s="120" t="n"/>
      <c r="K13" s="120" t="n"/>
      <c r="L13" s="120" t="n">
        <v>1</v>
      </c>
      <c r="M13" s="120" t="n"/>
      <c r="N13" s="120" t="n">
        <v>-1</v>
      </c>
      <c r="O13" s="122">
        <f>O31</f>
        <v/>
      </c>
      <c r="P13" s="113">
        <f>O30</f>
        <v/>
      </c>
      <c r="AO13" s="118" t="n"/>
    </row>
    <row r="14" ht="17" customHeight="1" thickBot="1">
      <c r="A14" s="118" t="inlineStr">
        <is>
          <t>x</t>
        </is>
      </c>
      <c r="B14" s="109" t="inlineStr">
        <is>
          <t>Negative</t>
        </is>
      </c>
      <c r="D14" s="109">
        <f>D13+1</f>
        <v/>
      </c>
      <c r="E14" s="125" t="inlineStr">
        <is>
          <t>-1/1</t>
        </is>
      </c>
      <c r="F14" s="121" t="n">
        <v>-1</v>
      </c>
      <c r="G14" s="121" t="n">
        <v>1</v>
      </c>
      <c r="H14" s="120" t="n"/>
      <c r="I14" s="117" t="n"/>
      <c r="J14" s="121" t="n"/>
      <c r="K14" s="121" t="n"/>
      <c r="L14" s="121" t="n"/>
      <c r="M14" s="121" t="n"/>
      <c r="N14" s="121" t="n"/>
      <c r="O14" s="123" t="n">
        <v>-1</v>
      </c>
      <c r="P14" s="116">
        <f>Q31</f>
        <v/>
      </c>
      <c r="Q14" s="113">
        <f>P30</f>
        <v/>
      </c>
      <c r="AO14" s="118" t="n"/>
    </row>
    <row r="15" ht="17" customHeight="1" thickBot="1">
      <c r="A15" s="118" t="inlineStr">
        <is>
          <t>x x</t>
        </is>
      </c>
      <c r="B15" s="109" t="inlineStr">
        <is>
          <t>Strong Negative</t>
        </is>
      </c>
      <c r="D15" s="109">
        <f>D14+1</f>
        <v/>
      </c>
      <c r="E15" s="125" t="inlineStr">
        <is>
          <t>-2/1</t>
        </is>
      </c>
      <c r="F15" s="121" t="n">
        <v>1</v>
      </c>
      <c r="G15" s="121" t="n"/>
      <c r="H15" s="120" t="n"/>
      <c r="I15" s="117" t="n"/>
      <c r="J15" s="121" t="n"/>
      <c r="K15" s="121" t="n"/>
      <c r="L15" s="121" t="n">
        <v>2</v>
      </c>
      <c r="M15" s="121" t="n">
        <v>1</v>
      </c>
      <c r="N15" s="121" t="n"/>
      <c r="O15" s="123" t="n">
        <v>2</v>
      </c>
      <c r="P15" s="120" t="n">
        <v>1</v>
      </c>
      <c r="Q15" s="116">
        <f>Q31</f>
        <v/>
      </c>
      <c r="R15" s="113">
        <f>Q30</f>
        <v/>
      </c>
      <c r="AO15" s="118" t="n"/>
    </row>
    <row r="16" ht="17" customHeight="1" thickBot="1">
      <c r="B16" s="110" t="n"/>
      <c r="D16" s="109">
        <f>D15+1</f>
        <v/>
      </c>
      <c r="E16" s="125" t="inlineStr">
        <is>
          <t>-2/1</t>
        </is>
      </c>
      <c r="F16" s="121" t="n"/>
      <c r="G16" s="121" t="n">
        <v>2</v>
      </c>
      <c r="H16" s="121" t="n"/>
      <c r="I16" s="120" t="n"/>
      <c r="J16" s="120" t="n"/>
      <c r="K16" s="120" t="n"/>
      <c r="L16" s="120" t="n">
        <v>1</v>
      </c>
      <c r="M16" s="126" t="inlineStr">
        <is>
          <t>1/0</t>
        </is>
      </c>
      <c r="N16" s="120" t="n">
        <v>2</v>
      </c>
      <c r="O16" s="123" t="n">
        <v>2</v>
      </c>
      <c r="P16" s="120" t="n">
        <v>2</v>
      </c>
      <c r="Q16" s="120" t="n">
        <v>2</v>
      </c>
      <c r="R16" s="116">
        <f>R31</f>
        <v/>
      </c>
      <c r="S16" s="113">
        <f>R30</f>
        <v/>
      </c>
      <c r="AO16" s="118" t="n"/>
    </row>
    <row r="17" ht="17" customHeight="1" thickBot="1">
      <c r="B17" s="110" t="n"/>
      <c r="D17" s="109">
        <f>D16+1</f>
        <v/>
      </c>
      <c r="E17" s="115" t="n">
        <v>-1</v>
      </c>
      <c r="F17" s="121" t="n"/>
      <c r="G17" s="121" t="n"/>
      <c r="H17" s="121" t="n"/>
      <c r="I17" s="121" t="n"/>
      <c r="J17" s="121" t="n"/>
      <c r="K17" s="121" t="n"/>
      <c r="L17" s="121" t="n"/>
      <c r="M17" s="121" t="n"/>
      <c r="N17" s="121" t="n"/>
      <c r="O17" s="124" t="n"/>
      <c r="P17" s="117" t="n"/>
      <c r="Q17" s="117" t="n"/>
      <c r="R17" s="117" t="n"/>
      <c r="S17" s="122">
        <f>S31</f>
        <v/>
      </c>
      <c r="T17" s="113">
        <f>S30</f>
        <v/>
      </c>
      <c r="AO17" s="118" t="n"/>
    </row>
    <row r="18" ht="17" customHeight="1" thickBot="1">
      <c r="B18" s="110" t="n"/>
      <c r="D18" s="109">
        <f>D17+1</f>
        <v/>
      </c>
      <c r="E18" s="115" t="n"/>
      <c r="F18" s="127" t="n"/>
      <c r="G18" s="121" t="n"/>
      <c r="H18" s="121" t="n"/>
      <c r="I18" s="121" t="n"/>
      <c r="J18" s="121" t="n"/>
      <c r="K18" s="121" t="n"/>
      <c r="L18" s="121" t="n"/>
      <c r="M18" s="121" t="n"/>
      <c r="N18" s="121" t="n"/>
      <c r="O18" s="120" t="n"/>
      <c r="P18" s="120" t="n"/>
      <c r="Q18" s="120" t="n"/>
      <c r="R18" s="120" t="n"/>
      <c r="S18" s="120" t="n">
        <v>1</v>
      </c>
      <c r="T18" s="116">
        <f>T31</f>
        <v/>
      </c>
      <c r="U18" s="113">
        <f>T30</f>
        <v/>
      </c>
      <c r="AO18" s="118" t="n"/>
    </row>
    <row r="19" ht="17" customHeight="1" thickBot="1">
      <c r="B19" s="239" t="n"/>
      <c r="D19" s="109">
        <f>D18+1</f>
        <v/>
      </c>
      <c r="E19" s="115" t="n"/>
      <c r="F19" s="123" t="n"/>
      <c r="G19" s="128" t="n">
        <v>-2</v>
      </c>
      <c r="H19" s="121" t="n">
        <v>-1</v>
      </c>
      <c r="I19" s="121" t="n"/>
      <c r="J19" s="121" t="n"/>
      <c r="K19" s="121" t="n">
        <v>-1</v>
      </c>
      <c r="L19" s="121" t="n"/>
      <c r="M19" s="121" t="n"/>
      <c r="N19" s="121" t="n"/>
      <c r="O19" s="121" t="n"/>
      <c r="P19" s="121" t="n"/>
      <c r="Q19" s="121" t="n"/>
      <c r="R19" s="121" t="n"/>
      <c r="S19" s="121" t="n"/>
      <c r="T19" s="117" t="n"/>
      <c r="U19" s="122">
        <f>U31</f>
        <v/>
      </c>
      <c r="V19" s="113">
        <f>U30</f>
        <v/>
      </c>
    </row>
    <row r="20" ht="17" customHeight="1" thickBot="1">
      <c r="D20" s="109">
        <f>D19+1</f>
        <v/>
      </c>
      <c r="E20" s="115" t="n"/>
      <c r="F20" s="123" t="n"/>
      <c r="G20" s="123" t="n"/>
      <c r="H20" s="123" t="n">
        <v>-1</v>
      </c>
      <c r="I20" s="121" t="n"/>
      <c r="J20" s="121" t="n"/>
      <c r="K20" s="121" t="n"/>
      <c r="L20" s="121" t="n"/>
      <c r="M20" s="121" t="n"/>
      <c r="N20" s="121" t="n"/>
      <c r="O20" s="121" t="n"/>
      <c r="P20" s="121" t="n"/>
      <c r="Q20" s="121" t="n"/>
      <c r="R20" s="121" t="n"/>
      <c r="S20" s="121" t="n"/>
      <c r="T20" s="120" t="n"/>
      <c r="U20" s="123" t="n">
        <v>1</v>
      </c>
      <c r="V20" s="116">
        <f>V31</f>
        <v/>
      </c>
      <c r="W20" s="113">
        <f>V30</f>
        <v/>
      </c>
    </row>
    <row r="21" ht="17" customHeight="1" thickBot="1">
      <c r="D21" s="109">
        <f>D20+1</f>
        <v/>
      </c>
      <c r="E21" s="129" t="n"/>
      <c r="F21" s="124" t="n"/>
      <c r="G21" s="124" t="n"/>
      <c r="H21" s="124" t="n">
        <v>-1</v>
      </c>
      <c r="I21" s="124" t="n"/>
      <c r="J21" s="124" t="n"/>
      <c r="K21" s="124" t="n">
        <v>-1</v>
      </c>
      <c r="L21" s="124" t="n">
        <v>-1</v>
      </c>
      <c r="M21" s="124" t="n">
        <v>-1</v>
      </c>
      <c r="N21" s="124" t="n"/>
      <c r="O21" s="124" t="n">
        <v>-1</v>
      </c>
      <c r="P21" s="124" t="n"/>
      <c r="Q21" s="124" t="n"/>
      <c r="R21" s="124" t="n">
        <v>-2</v>
      </c>
      <c r="S21" s="124" t="n"/>
      <c r="T21" s="117" t="n"/>
      <c r="U21" s="117" t="n"/>
      <c r="V21" s="117" t="n"/>
      <c r="W21" s="122">
        <f>W31</f>
        <v/>
      </c>
      <c r="X21" s="113">
        <f>W30</f>
        <v/>
      </c>
    </row>
    <row r="22" ht="17" customHeight="1" thickBot="1">
      <c r="D22" s="109">
        <f>D21+1</f>
        <v/>
      </c>
      <c r="E22" s="115" t="n"/>
      <c r="F22" s="120" t="n"/>
      <c r="G22" s="120" t="n"/>
      <c r="H22" s="120" t="n"/>
      <c r="I22" s="120" t="n"/>
      <c r="J22" s="120" t="n"/>
      <c r="K22" s="120" t="n">
        <v>-1</v>
      </c>
      <c r="L22" s="120" t="n"/>
      <c r="M22" s="120" t="n"/>
      <c r="N22" s="120" t="n"/>
      <c r="O22" s="120" t="n"/>
      <c r="P22" s="120" t="n"/>
      <c r="Q22" s="120" t="n"/>
      <c r="R22" s="120" t="n"/>
      <c r="S22" s="120" t="n"/>
      <c r="T22" s="120" t="n"/>
      <c r="U22" s="120" t="n"/>
      <c r="V22" s="120" t="n"/>
      <c r="W22" s="120" t="n"/>
      <c r="X22" s="116">
        <f>X31</f>
        <v/>
      </c>
      <c r="Y22" s="113">
        <f>X30</f>
        <v/>
      </c>
    </row>
    <row r="23" ht="17" customHeight="1" thickBot="1">
      <c r="D23" s="109">
        <f>D22+1</f>
        <v/>
      </c>
      <c r="E23" s="130" t="n">
        <v>-1</v>
      </c>
      <c r="F23" s="121" t="n"/>
      <c r="G23" s="121" t="n"/>
      <c r="H23" s="121" t="n"/>
      <c r="I23" s="121" t="n"/>
      <c r="J23" s="121" t="n"/>
      <c r="K23" s="121" t="n"/>
      <c r="L23" s="121" t="n"/>
      <c r="M23" s="121" t="n"/>
      <c r="N23" s="121" t="n"/>
      <c r="O23" s="121" t="n"/>
      <c r="P23" s="121" t="n"/>
      <c r="Q23" s="121" t="n"/>
      <c r="R23" s="121" t="n"/>
      <c r="S23" s="121" t="n">
        <v>-1</v>
      </c>
      <c r="T23" s="121" t="n"/>
      <c r="U23" s="121" t="n"/>
      <c r="V23" s="121" t="n"/>
      <c r="W23" s="121" t="n"/>
      <c r="X23" s="117" t="n">
        <v>-1</v>
      </c>
      <c r="Y23" s="122">
        <f>Y31</f>
        <v/>
      </c>
      <c r="Z23" s="113">
        <f>Y30</f>
        <v/>
      </c>
    </row>
    <row r="24" ht="17" customHeight="1" thickBot="1">
      <c r="D24" s="109">
        <f>D23+1</f>
        <v/>
      </c>
      <c r="E24" s="130" t="n"/>
      <c r="F24" s="121" t="n"/>
      <c r="G24" s="121" t="n"/>
      <c r="H24" s="121" t="n"/>
      <c r="I24" s="121" t="n"/>
      <c r="J24" s="121" t="n"/>
      <c r="K24" s="121" t="n"/>
      <c r="L24" s="121" t="n"/>
      <c r="M24" s="121" t="n"/>
      <c r="N24" s="121" t="n"/>
      <c r="O24" s="121" t="n"/>
      <c r="P24" s="121" t="n"/>
      <c r="Q24" s="121" t="n"/>
      <c r="R24" s="121" t="n"/>
      <c r="S24" s="121" t="n">
        <v>2</v>
      </c>
      <c r="T24" s="121" t="n"/>
      <c r="U24" s="121" t="n"/>
      <c r="V24" s="121" t="n"/>
      <c r="W24" s="121" t="n"/>
      <c r="X24" s="120" t="n"/>
      <c r="Y24" s="123" t="n">
        <v>-1</v>
      </c>
      <c r="Z24" s="116">
        <f>Z31</f>
        <v/>
      </c>
      <c r="AA24" s="113">
        <f>Z30</f>
        <v/>
      </c>
    </row>
    <row r="25" ht="17" customHeight="1" thickBot="1">
      <c r="D25" s="109">
        <f>D24+1</f>
        <v/>
      </c>
      <c r="E25" s="130" t="n">
        <v>-1</v>
      </c>
      <c r="F25" s="121" t="n">
        <v>-1</v>
      </c>
      <c r="G25" s="121" t="n"/>
      <c r="H25" s="121" t="n"/>
      <c r="I25" s="131" t="inlineStr">
        <is>
          <t>0/1</t>
        </is>
      </c>
      <c r="J25" s="131" t="inlineStr">
        <is>
          <t>0/1</t>
        </is>
      </c>
      <c r="K25" s="131" t="inlineStr">
        <is>
          <t>0/1</t>
        </is>
      </c>
      <c r="L25" s="121" t="n"/>
      <c r="M25" s="121" t="n"/>
      <c r="N25" s="121" t="n"/>
      <c r="O25" s="121" t="n"/>
      <c r="P25" s="121" t="n"/>
      <c r="Q25" s="121" t="n"/>
      <c r="R25" s="121" t="n"/>
      <c r="S25" s="121" t="n">
        <v>1</v>
      </c>
      <c r="T25" s="121" t="n"/>
      <c r="U25" s="121" t="n"/>
      <c r="V25" s="121" t="n"/>
      <c r="W25" s="121" t="n"/>
      <c r="X25" s="120" t="n"/>
      <c r="Y25" s="123" t="n"/>
      <c r="Z25" s="126" t="inlineStr">
        <is>
          <t>-2/2</t>
        </is>
      </c>
      <c r="AA25" s="116">
        <f>AA31</f>
        <v/>
      </c>
      <c r="AB25" s="113">
        <f>AA30</f>
        <v/>
      </c>
    </row>
    <row r="26" ht="17" customHeight="1" thickBot="1">
      <c r="D26" s="109">
        <f>D25+1</f>
        <v/>
      </c>
      <c r="E26" s="130" t="n"/>
      <c r="F26" s="121" t="n"/>
      <c r="G26" s="121" t="n"/>
      <c r="H26" s="121" t="n"/>
      <c r="I26" s="131" t="inlineStr">
        <is>
          <t>0/1</t>
        </is>
      </c>
      <c r="J26" s="131" t="inlineStr">
        <is>
          <t>0/1</t>
        </is>
      </c>
      <c r="K26" s="131" t="inlineStr">
        <is>
          <t>0/1</t>
        </is>
      </c>
      <c r="L26" s="121" t="n"/>
      <c r="M26" s="121" t="n"/>
      <c r="N26" s="121" t="n"/>
      <c r="O26" s="121" t="n"/>
      <c r="P26" s="121" t="n"/>
      <c r="Q26" s="121" t="n"/>
      <c r="R26" s="121" t="n"/>
      <c r="S26" s="121" t="n">
        <v>1</v>
      </c>
      <c r="T26" s="121" t="n"/>
      <c r="U26" s="121" t="n"/>
      <c r="V26" s="131" t="inlineStr">
        <is>
          <t>0/1</t>
        </is>
      </c>
      <c r="W26" s="121" t="n"/>
      <c r="X26" s="120" t="n"/>
      <c r="Y26" s="123" t="n"/>
      <c r="Z26" s="120" t="n">
        <v>-1</v>
      </c>
      <c r="AA26" s="120" t="n"/>
      <c r="AB26" s="116">
        <f>AB31</f>
        <v/>
      </c>
      <c r="AC26" s="113">
        <f>AB30</f>
        <v/>
      </c>
    </row>
    <row r="27" ht="17" customHeight="1" thickBot="1">
      <c r="D27" s="109">
        <f>D26+1</f>
        <v/>
      </c>
      <c r="E27" s="130" t="n"/>
      <c r="F27" s="121" t="n"/>
      <c r="G27" s="121" t="n"/>
      <c r="H27" s="121" t="n"/>
      <c r="I27" s="131" t="inlineStr">
        <is>
          <t>-1/1</t>
        </is>
      </c>
      <c r="J27" s="131" t="inlineStr">
        <is>
          <t>-1/1</t>
        </is>
      </c>
      <c r="K27" s="131" t="inlineStr">
        <is>
          <t>-1/1</t>
        </is>
      </c>
      <c r="L27" s="121" t="n"/>
      <c r="M27" s="121" t="n"/>
      <c r="N27" s="121" t="n"/>
      <c r="O27" s="121" t="n"/>
      <c r="P27" s="121" t="n"/>
      <c r="Q27" s="121" t="n"/>
      <c r="R27" s="121" t="n"/>
      <c r="S27" s="121" t="n">
        <v>1</v>
      </c>
      <c r="T27" s="121" t="n"/>
      <c r="U27" s="121" t="n">
        <v>1</v>
      </c>
      <c r="V27" s="121" t="n"/>
      <c r="W27" s="121" t="n"/>
      <c r="X27" s="120" t="n"/>
      <c r="Y27" s="123" t="n"/>
      <c r="Z27" s="120" t="n"/>
      <c r="AA27" s="120" t="n"/>
      <c r="AB27" s="120" t="n">
        <v>1</v>
      </c>
      <c r="AC27" s="116">
        <f>AC31</f>
        <v/>
      </c>
      <c r="AD27" s="113">
        <f>AC30</f>
        <v/>
      </c>
    </row>
    <row r="28" ht="15" customHeight="1">
      <c r="D28" s="109">
        <f>D27+1</f>
        <v/>
      </c>
      <c r="E28" s="132" t="inlineStr">
        <is>
          <t>-1/1</t>
        </is>
      </c>
      <c r="F28" s="121" t="n">
        <v>-1</v>
      </c>
      <c r="G28" s="121" t="n">
        <v>-1</v>
      </c>
      <c r="H28" s="121" t="n"/>
      <c r="I28" s="121" t="n"/>
      <c r="J28" s="121" t="n"/>
      <c r="K28" s="121" t="n">
        <v>-1</v>
      </c>
      <c r="L28" s="121" t="n"/>
      <c r="M28" s="121" t="n"/>
      <c r="N28" s="121" t="n"/>
      <c r="O28" s="121" t="n"/>
      <c r="P28" s="121" t="n"/>
      <c r="Q28" s="121" t="n"/>
      <c r="R28" s="121" t="n"/>
      <c r="S28" s="121" t="n"/>
      <c r="T28" s="121" t="n"/>
      <c r="U28" s="121" t="n"/>
      <c r="V28" s="121" t="n"/>
      <c r="W28" s="121" t="n"/>
      <c r="X28" s="120" t="n"/>
      <c r="Y28" s="128" t="n"/>
      <c r="Z28" s="133" t="n"/>
      <c r="AA28" s="133" t="n">
        <v>2</v>
      </c>
      <c r="AB28" s="133" t="n">
        <v>1</v>
      </c>
      <c r="AC28" s="120" t="n">
        <v>-1</v>
      </c>
      <c r="AD28" s="134">
        <f>AD31</f>
        <v/>
      </c>
      <c r="AE28" s="109">
        <f>AD30</f>
        <v/>
      </c>
    </row>
    <row r="29" ht="15" customHeight="1">
      <c r="D29" s="135" t="inlineStr">
        <is>
          <t>ID</t>
        </is>
      </c>
      <c r="E29" s="130" t="n">
        <v>1</v>
      </c>
      <c r="F29" s="123">
        <f>E29+1</f>
        <v/>
      </c>
      <c r="G29" s="123">
        <f>F29+1</f>
        <v/>
      </c>
      <c r="H29" s="123">
        <f>G29+1</f>
        <v/>
      </c>
      <c r="I29" s="123">
        <f>H29+1</f>
        <v/>
      </c>
      <c r="J29" s="123">
        <f>I29+1</f>
        <v/>
      </c>
      <c r="K29" s="123">
        <f>J29+1</f>
        <v/>
      </c>
      <c r="L29" s="123">
        <f>K29+1</f>
        <v/>
      </c>
      <c r="M29" s="123">
        <f>L29+1</f>
        <v/>
      </c>
      <c r="N29" s="123">
        <f>M29+1</f>
        <v/>
      </c>
      <c r="O29" s="123">
        <f>N29+1</f>
        <v/>
      </c>
      <c r="P29" s="123">
        <f>O29+1</f>
        <v/>
      </c>
      <c r="Q29" s="123">
        <f>P29+1</f>
        <v/>
      </c>
      <c r="R29" s="123">
        <f>Q29+1</f>
        <v/>
      </c>
      <c r="S29" s="123">
        <f>R29+1</f>
        <v/>
      </c>
      <c r="T29" s="123">
        <f>S29+1</f>
        <v/>
      </c>
      <c r="U29" s="123">
        <f>T29+1</f>
        <v/>
      </c>
      <c r="V29" s="123">
        <f>U29+1</f>
        <v/>
      </c>
      <c r="W29" s="123">
        <f>V29+1</f>
        <v/>
      </c>
      <c r="X29" s="123">
        <f>W29+1</f>
        <v/>
      </c>
      <c r="Y29" s="123">
        <f>X29+1</f>
        <v/>
      </c>
      <c r="Z29" s="123">
        <f>Y29+1</f>
        <v/>
      </c>
      <c r="AA29" s="123">
        <f>Z29+1</f>
        <v/>
      </c>
      <c r="AB29" s="123">
        <f>AA29+1</f>
        <v/>
      </c>
      <c r="AC29" s="120">
        <f>AB29+1</f>
        <v/>
      </c>
      <c r="AD29" s="136">
        <f>AC29+1</f>
        <v/>
      </c>
      <c r="AE29" s="110" t="inlineStr">
        <is>
          <t>Engineering Characteristics</t>
        </is>
      </c>
      <c r="AF29" s="110" t="n"/>
      <c r="AG29" s="110" t="n"/>
    </row>
    <row r="30" ht="191.25" customHeight="1" thickBot="1">
      <c r="D30" s="137" t="inlineStr">
        <is>
          <t>Relative Importance</t>
        </is>
      </c>
      <c r="E30" s="138" t="inlineStr">
        <is>
          <t>Maximum Speed</t>
        </is>
      </c>
      <c r="F30" s="139" t="inlineStr">
        <is>
          <t>Maximum Acceleration</t>
        </is>
      </c>
      <c r="G30" s="139" t="inlineStr">
        <is>
          <t>CPU</t>
        </is>
      </c>
      <c r="H30" s="139" t="inlineStr">
        <is>
          <t># Microcontrollers</t>
        </is>
      </c>
      <c r="I30" s="139" t="inlineStr">
        <is>
          <t>Number of Sensor Ports Type A</t>
        </is>
      </c>
      <c r="J30" s="139" t="inlineStr">
        <is>
          <t>Number of Sensor Ports Type B</t>
        </is>
      </c>
      <c r="K30" s="139" t="inlineStr">
        <is>
          <t>Number of Sensor Ports Type C</t>
        </is>
      </c>
      <c r="L30" s="139" t="inlineStr">
        <is>
          <t>Navigation Sensors Quality</t>
        </is>
      </c>
      <c r="M30" s="139" t="inlineStr">
        <is>
          <t>Sensor Filter Quality</t>
        </is>
      </c>
      <c r="N30" s="139" t="inlineStr">
        <is>
          <t>Area Map Precision</t>
        </is>
      </c>
      <c r="O30" s="139" t="inlineStr">
        <is>
          <t>Path Planning Quality</t>
        </is>
      </c>
      <c r="P30" s="139" t="inlineStr">
        <is>
          <t>Path Planning Frequency</t>
        </is>
      </c>
      <c r="Q30" s="139" t="inlineStr">
        <is>
          <t>Controls / Path Following Accuracy</t>
        </is>
      </c>
      <c r="R30" s="139" t="inlineStr">
        <is>
          <t>Controls Quality</t>
        </is>
      </c>
      <c r="S30" s="139" t="inlineStr">
        <is>
          <t>Structural Material &amp; Parts Costs</t>
        </is>
      </c>
      <c r="T30" s="139" t="inlineStr">
        <is>
          <t>Structural Repair Costs</t>
        </is>
      </c>
      <c r="U30" s="139" t="inlineStr">
        <is>
          <t>Electrical Parts Costs</t>
        </is>
      </c>
      <c r="V30" s="139" t="inlineStr">
        <is>
          <t>Electrical Repair  Costs</t>
        </is>
      </c>
      <c r="W30" s="139" t="inlineStr">
        <is>
          <t>Initialization &amp; Calibration Time</t>
        </is>
      </c>
      <c r="X30" s="140" t="inlineStr">
        <is>
          <t>Assembly Time</t>
        </is>
      </c>
      <c r="Y30" s="141" t="inlineStr">
        <is>
          <t>Manufacture Time</t>
        </is>
      </c>
      <c r="Z30" s="140" t="inlineStr">
        <is>
          <t>Frame Strength</t>
        </is>
      </c>
      <c r="AA30" s="140" t="inlineStr">
        <is>
          <t>Max Payload Weight</t>
        </is>
      </c>
      <c r="AB30" s="140" t="inlineStr">
        <is>
          <t>Max Payload Size</t>
        </is>
      </c>
      <c r="AC30" s="140" t="inlineStr">
        <is>
          <t>Sensor Bay Size</t>
        </is>
      </c>
      <c r="AD30" s="142" t="inlineStr">
        <is>
          <t>Battery Capacity</t>
        </is>
      </c>
      <c r="AE30" s="240" t="inlineStr">
        <is>
          <t>Customer Perception / Performance Scores</t>
        </is>
      </c>
      <c r="AF30" s="248" t="n"/>
      <c r="AG30" s="248" t="n"/>
      <c r="AH30" s="248" t="n"/>
      <c r="AI30" s="248" t="n"/>
      <c r="AJ30" s="248" t="n"/>
      <c r="AK30" s="248" t="n"/>
      <c r="AL30" s="248" t="n"/>
      <c r="AM30" s="248" t="n"/>
      <c r="AN30" s="248" t="n"/>
    </row>
    <row r="31" ht="15.75" customHeight="1" thickBot="1">
      <c r="B31" s="110" t="inlineStr">
        <is>
          <t>Performance Measures / Customer Attributes</t>
        </is>
      </c>
      <c r="C31" s="135" t="inlineStr">
        <is>
          <t>Direction of Change</t>
        </is>
      </c>
      <c r="D31" s="143" t="n"/>
      <c r="E31" s="144" t="inlineStr">
        <is>
          <t>↑</t>
        </is>
      </c>
      <c r="F31" s="145" t="inlineStr">
        <is>
          <t>↑</t>
        </is>
      </c>
      <c r="G31" s="145" t="inlineStr">
        <is>
          <t>↑</t>
        </is>
      </c>
      <c r="H31" s="145" t="inlineStr">
        <is>
          <t>↑</t>
        </is>
      </c>
      <c r="I31" s="145" t="inlineStr">
        <is>
          <t>↑</t>
        </is>
      </c>
      <c r="J31" s="145" t="inlineStr">
        <is>
          <t>↑</t>
        </is>
      </c>
      <c r="K31" s="145" t="inlineStr">
        <is>
          <t>↑</t>
        </is>
      </c>
      <c r="L31" s="145" t="inlineStr">
        <is>
          <t>↑</t>
        </is>
      </c>
      <c r="M31" s="145" t="inlineStr">
        <is>
          <t>↑</t>
        </is>
      </c>
      <c r="N31" s="145" t="inlineStr">
        <is>
          <t>↑</t>
        </is>
      </c>
      <c r="O31" s="145" t="inlineStr">
        <is>
          <t>↑</t>
        </is>
      </c>
      <c r="P31" s="145" t="inlineStr">
        <is>
          <t>↑</t>
        </is>
      </c>
      <c r="Q31" s="145" t="inlineStr">
        <is>
          <t>↑</t>
        </is>
      </c>
      <c r="R31" s="145" t="inlineStr">
        <is>
          <t>↑</t>
        </is>
      </c>
      <c r="S31" s="146" t="inlineStr">
        <is>
          <t>↓</t>
        </is>
      </c>
      <c r="T31" s="146" t="inlineStr">
        <is>
          <t>↓</t>
        </is>
      </c>
      <c r="U31" s="146" t="inlineStr">
        <is>
          <t>↓</t>
        </is>
      </c>
      <c r="V31" s="146" t="inlineStr">
        <is>
          <t>↓</t>
        </is>
      </c>
      <c r="W31" s="146" t="inlineStr">
        <is>
          <t>↓</t>
        </is>
      </c>
      <c r="X31" s="146" t="inlineStr">
        <is>
          <t>↓</t>
        </is>
      </c>
      <c r="Y31" s="146" t="inlineStr">
        <is>
          <t>↓</t>
        </is>
      </c>
      <c r="Z31" s="145" t="inlineStr">
        <is>
          <t>↑</t>
        </is>
      </c>
      <c r="AA31" s="145" t="inlineStr">
        <is>
          <t>↑</t>
        </is>
      </c>
      <c r="AB31" s="145" t="inlineStr">
        <is>
          <t>↑</t>
        </is>
      </c>
      <c r="AC31" s="145" t="inlineStr">
        <is>
          <t>↑</t>
        </is>
      </c>
      <c r="AD31" s="147" t="inlineStr">
        <is>
          <t>↑</t>
        </is>
      </c>
      <c r="AE31" s="252" t="inlineStr">
        <is>
          <t>Normalized &amp; Unweighted</t>
        </is>
      </c>
      <c r="AF31" s="246" t="n"/>
      <c r="AG31" s="246" t="n"/>
      <c r="AH31" s="246" t="n"/>
      <c r="AI31" s="247" t="n"/>
      <c r="AJ31" s="252" t="inlineStr">
        <is>
          <t>Normalized &amp; Weighted</t>
        </is>
      </c>
      <c r="AK31" s="246" t="n"/>
      <c r="AL31" s="246" t="n"/>
      <c r="AM31" s="246" t="n"/>
      <c r="AN31" s="247" t="n"/>
    </row>
    <row r="32" ht="17" customHeight="1" thickBot="1">
      <c r="A32" s="135" t="inlineStr">
        <is>
          <t>ID</t>
        </is>
      </c>
      <c r="B32" s="148" t="inlineStr">
        <is>
          <t>Full Attribute/Goal/Add'l Info</t>
        </is>
      </c>
      <c r="C32" s="148" t="inlineStr">
        <is>
          <t>Short Name</t>
        </is>
      </c>
      <c r="D32" s="149">
        <f>SUM(D33:D44)</f>
        <v/>
      </c>
      <c r="E32" s="150" t="n"/>
      <c r="F32" s="151" t="n"/>
      <c r="G32" s="151" t="n"/>
      <c r="H32" s="151" t="n"/>
      <c r="I32" s="151" t="n"/>
      <c r="J32" s="151" t="n"/>
      <c r="K32" s="151" t="n"/>
      <c r="L32" s="151" t="n"/>
      <c r="M32" s="151" t="n"/>
      <c r="N32" s="151" t="n"/>
      <c r="O32" s="151" t="n"/>
      <c r="P32" s="151" t="n"/>
      <c r="Q32" s="151" t="n"/>
      <c r="R32" s="151" t="n"/>
      <c r="S32" s="151" t="n"/>
      <c r="T32" s="151" t="n"/>
      <c r="U32" s="151" t="n"/>
      <c r="V32" s="151" t="n"/>
      <c r="W32" s="151" t="n"/>
      <c r="X32" s="151" t="n"/>
      <c r="Y32" s="151" t="n"/>
      <c r="Z32" s="151" t="n"/>
      <c r="AA32" s="151" t="n"/>
      <c r="AB32" s="151" t="n"/>
      <c r="AC32" s="151" t="n"/>
      <c r="AD32" s="152" t="n"/>
      <c r="AE32" s="153" t="inlineStr">
        <is>
          <t>A(low)</t>
        </is>
      </c>
      <c r="AF32" s="154" t="inlineStr">
        <is>
          <t>A(high)</t>
        </is>
      </c>
      <c r="AG32" s="154" t="inlineStr">
        <is>
          <t>A(target)</t>
        </is>
      </c>
      <c r="AH32" s="155" t="inlineStr">
        <is>
          <t>B</t>
        </is>
      </c>
      <c r="AI32" s="155" t="inlineStr">
        <is>
          <t>C</t>
        </is>
      </c>
      <c r="AJ32" s="153" t="inlineStr">
        <is>
          <t>A(low)</t>
        </is>
      </c>
      <c r="AK32" s="154" t="inlineStr">
        <is>
          <t>A(high)</t>
        </is>
      </c>
      <c r="AL32" s="156" t="inlineStr">
        <is>
          <t>A(target)</t>
        </is>
      </c>
      <c r="AM32" s="157" t="inlineStr">
        <is>
          <t>B</t>
        </is>
      </c>
      <c r="AN32" s="158" t="inlineStr">
        <is>
          <t>C</t>
        </is>
      </c>
      <c r="AP32" s="149" t="n"/>
    </row>
    <row r="33">
      <c r="A33" s="109" t="n">
        <v>1</v>
      </c>
      <c r="B33" s="159" t="n"/>
      <c r="C33" s="160" t="inlineStr">
        <is>
          <t>Time to accomplish tasks</t>
        </is>
      </c>
      <c r="D33" s="161" t="n">
        <v>13.51351351351351</v>
      </c>
      <c r="E33" s="162" t="n">
        <v>2</v>
      </c>
      <c r="F33" s="163" t="n">
        <v>1</v>
      </c>
      <c r="G33" s="163" t="n">
        <v>1</v>
      </c>
      <c r="H33" s="163" t="n">
        <v>1</v>
      </c>
      <c r="I33" s="163" t="n"/>
      <c r="J33" s="163" t="n"/>
      <c r="K33" s="163" t="n"/>
      <c r="L33" s="163" t="n">
        <v>1</v>
      </c>
      <c r="M33" s="163" t="n">
        <v>-1</v>
      </c>
      <c r="N33" s="163" t="n">
        <v>1</v>
      </c>
      <c r="O33" s="163" t="n">
        <v>1</v>
      </c>
      <c r="P33" s="163" t="n"/>
      <c r="Q33" s="163" t="n">
        <v>1</v>
      </c>
      <c r="R33" s="163" t="n">
        <v>1</v>
      </c>
      <c r="S33" s="163" t="n"/>
      <c r="T33" s="163" t="n"/>
      <c r="U33" s="163" t="n"/>
      <c r="V33" s="163" t="n"/>
      <c r="W33" s="163" t="n"/>
      <c r="X33" s="164" t="n"/>
      <c r="Y33" s="164" t="n"/>
      <c r="Z33" s="163" t="n"/>
      <c r="AA33" s="163" t="n"/>
      <c r="AB33" s="163" t="n"/>
      <c r="AC33" s="163" t="n"/>
      <c r="AD33" s="165" t="n"/>
      <c r="AE33" s="166" t="n">
        <v>2</v>
      </c>
      <c r="AF33" s="167" t="n">
        <v>5</v>
      </c>
      <c r="AG33" s="167" t="n">
        <v>3</v>
      </c>
      <c r="AH33" s="167" t="n">
        <v>5</v>
      </c>
      <c r="AI33" s="168" t="n">
        <v>2</v>
      </c>
      <c r="AJ33" s="169">
        <f>AE33*$D33</f>
        <v/>
      </c>
      <c r="AK33" s="170">
        <f>AF33*$D33</f>
        <v/>
      </c>
      <c r="AL33" s="170">
        <f>AG33*$D33</f>
        <v/>
      </c>
      <c r="AM33" s="170">
        <f>AH33*$D33</f>
        <v/>
      </c>
      <c r="AN33" s="171">
        <f>AI33*$D33</f>
        <v/>
      </c>
    </row>
    <row r="34">
      <c r="A34" s="109">
        <f>A33+1</f>
        <v/>
      </c>
      <c r="B34" s="172" t="inlineStr">
        <is>
          <t>Accuracy, time, opt route plan, uncertainty handle</t>
        </is>
      </c>
      <c r="C34" s="173" t="inlineStr">
        <is>
          <t>Navigation</t>
        </is>
      </c>
      <c r="D34" s="174" t="n">
        <v>10.81081081081081</v>
      </c>
      <c r="E34" s="175" t="n">
        <v>-1</v>
      </c>
      <c r="F34" s="176" t="n">
        <v>1</v>
      </c>
      <c r="G34" s="176" t="n">
        <v>1</v>
      </c>
      <c r="H34" s="176" t="n"/>
      <c r="I34" s="176" t="n"/>
      <c r="J34" s="176" t="n"/>
      <c r="K34" s="176" t="n">
        <v>1</v>
      </c>
      <c r="L34" s="176" t="n">
        <v>2</v>
      </c>
      <c r="M34" s="176" t="n"/>
      <c r="N34" s="176" t="n">
        <v>2</v>
      </c>
      <c r="O34" s="176" t="n">
        <v>2</v>
      </c>
      <c r="P34" s="176" t="n">
        <v>1</v>
      </c>
      <c r="Q34" s="176" t="n">
        <v>2</v>
      </c>
      <c r="R34" s="176" t="n">
        <v>1</v>
      </c>
      <c r="S34" s="176" t="n"/>
      <c r="T34" s="176" t="n"/>
      <c r="U34" s="176" t="n"/>
      <c r="V34" s="176" t="n"/>
      <c r="W34" s="176" t="n"/>
      <c r="X34" s="176" t="n"/>
      <c r="Y34" s="176" t="n"/>
      <c r="Z34" s="176" t="n"/>
      <c r="AA34" s="176" t="n"/>
      <c r="AB34" s="176" t="n">
        <v>-1</v>
      </c>
      <c r="AC34" s="176" t="n">
        <v>1</v>
      </c>
      <c r="AD34" s="177" t="n"/>
      <c r="AE34" s="178" t="n">
        <v>2</v>
      </c>
      <c r="AF34" s="179" t="n">
        <v>4</v>
      </c>
      <c r="AG34" s="179" t="n">
        <v>4</v>
      </c>
      <c r="AH34" s="179" t="n">
        <v>4</v>
      </c>
      <c r="AI34" s="180" t="n">
        <v>4</v>
      </c>
      <c r="AJ34" s="181">
        <f>AE34*$D34</f>
        <v/>
      </c>
      <c r="AK34" s="182">
        <f>AF34*$D34</f>
        <v/>
      </c>
      <c r="AL34" s="182">
        <f>AG34*$D34</f>
        <v/>
      </c>
      <c r="AM34" s="182">
        <f>AH34*$D34</f>
        <v/>
      </c>
      <c r="AN34" s="183">
        <f>AI34*$D34</f>
        <v/>
      </c>
    </row>
    <row r="35">
      <c r="A35" s="109">
        <f>A34+1</f>
        <v/>
      </c>
      <c r="B35" s="184" t="n"/>
      <c r="C35" s="185" t="inlineStr">
        <is>
          <t>Structural integrity</t>
        </is>
      </c>
      <c r="D35" s="174" t="n">
        <v>8.108108108108109</v>
      </c>
      <c r="E35" s="175" t="n">
        <v>-1</v>
      </c>
      <c r="F35" s="176" t="n"/>
      <c r="G35" s="176" t="n"/>
      <c r="H35" s="176" t="n"/>
      <c r="I35" s="176" t="n"/>
      <c r="J35" s="176" t="n"/>
      <c r="K35" s="176" t="n"/>
      <c r="L35" s="176" t="n"/>
      <c r="M35" s="176" t="n"/>
      <c r="N35" s="176" t="n"/>
      <c r="O35" s="176" t="n"/>
      <c r="P35" s="176" t="n"/>
      <c r="Q35" s="176" t="n"/>
      <c r="R35" s="176" t="n"/>
      <c r="S35" s="176" t="n">
        <v>-2</v>
      </c>
      <c r="T35" s="176" t="n"/>
      <c r="U35" s="176" t="n"/>
      <c r="V35" s="176" t="n"/>
      <c r="W35" s="176" t="n"/>
      <c r="X35" s="176" t="n"/>
      <c r="Y35" s="176" t="n"/>
      <c r="Z35" s="176" t="n">
        <v>2</v>
      </c>
      <c r="AA35" s="176" t="n">
        <v>-1</v>
      </c>
      <c r="AB35" s="176" t="n"/>
      <c r="AC35" s="176" t="n"/>
      <c r="AD35" s="177" t="n"/>
      <c r="AE35" s="178" t="n">
        <v>3</v>
      </c>
      <c r="AF35" s="179" t="n">
        <v>5</v>
      </c>
      <c r="AG35" s="179" t="n">
        <v>5</v>
      </c>
      <c r="AH35" s="179" t="n">
        <v>3</v>
      </c>
      <c r="AI35" s="180" t="n">
        <v>5</v>
      </c>
      <c r="AJ35" s="181">
        <f>AE35*$D35</f>
        <v/>
      </c>
      <c r="AK35" s="182">
        <f>AF35*$D35</f>
        <v/>
      </c>
      <c r="AL35" s="182">
        <f>AG35*$D35</f>
        <v/>
      </c>
      <c r="AM35" s="182">
        <f>AH35*$D35</f>
        <v/>
      </c>
      <c r="AN35" s="183">
        <f>AI35*$D35</f>
        <v/>
      </c>
    </row>
    <row r="36">
      <c r="A36" s="109">
        <f>A35+1</f>
        <v/>
      </c>
      <c r="B36" s="184" t="inlineStr">
        <is>
          <t>How long can it run between battery charges</t>
        </is>
      </c>
      <c r="C36" s="185" t="inlineStr">
        <is>
          <t>Runtime</t>
        </is>
      </c>
      <c r="D36" s="174" t="n">
        <v>5.405405405405405</v>
      </c>
      <c r="E36" s="175" t="n">
        <v>-1</v>
      </c>
      <c r="F36" s="176" t="n">
        <v>-1</v>
      </c>
      <c r="G36" s="176" t="n"/>
      <c r="H36" s="176" t="n">
        <v>-1</v>
      </c>
      <c r="I36" s="176" t="n"/>
      <c r="J36" s="176" t="n"/>
      <c r="K36" s="176" t="n"/>
      <c r="L36" s="176" t="n"/>
      <c r="M36" s="176" t="n"/>
      <c r="N36" s="176" t="n"/>
      <c r="O36" s="176" t="n"/>
      <c r="P36" s="176" t="n"/>
      <c r="Q36" s="176" t="n"/>
      <c r="R36" s="176" t="n"/>
      <c r="S36" s="176" t="n"/>
      <c r="T36" s="176" t="n"/>
      <c r="U36" s="176" t="n"/>
      <c r="V36" s="176" t="n"/>
      <c r="W36" s="176" t="n">
        <v>1</v>
      </c>
      <c r="X36" s="176" t="n"/>
      <c r="Y36" s="176" t="n"/>
      <c r="Z36" s="176" t="n"/>
      <c r="AA36" s="176" t="n"/>
      <c r="AB36" s="176" t="n"/>
      <c r="AC36" s="176" t="n"/>
      <c r="AD36" s="177" t="n">
        <v>1</v>
      </c>
      <c r="AE36" s="178" t="n">
        <v>1</v>
      </c>
      <c r="AF36" s="179" t="n">
        <v>3</v>
      </c>
      <c r="AG36" s="179" t="n">
        <v>3</v>
      </c>
      <c r="AH36" s="179" t="n">
        <v>2</v>
      </c>
      <c r="AI36" s="180" t="n">
        <v>3</v>
      </c>
      <c r="AJ36" s="181">
        <f>AE36*$D36</f>
        <v/>
      </c>
      <c r="AK36" s="182">
        <f>AF36*$D36</f>
        <v/>
      </c>
      <c r="AL36" s="182">
        <f>AG36*$D36</f>
        <v/>
      </c>
      <c r="AM36" s="182">
        <f>AH36*$D36</f>
        <v/>
      </c>
      <c r="AN36" s="183">
        <f>AI36*$D36</f>
        <v/>
      </c>
    </row>
    <row r="37">
      <c r="A37" s="109">
        <f>A36+1</f>
        <v/>
      </c>
      <c r="B37" s="184" t="inlineStr">
        <is>
          <t>Ability to get good, useful data readings</t>
        </is>
      </c>
      <c r="C37" s="185" t="inlineStr">
        <is>
          <t>Measurement accuracy</t>
        </is>
      </c>
      <c r="D37" s="174" t="n">
        <v>13.51351351351351</v>
      </c>
      <c r="E37" s="175" t="n"/>
      <c r="F37" s="176" t="n"/>
      <c r="G37" s="176" t="n">
        <v>2</v>
      </c>
      <c r="H37" s="176" t="n"/>
      <c r="I37" s="176" t="n">
        <v>2</v>
      </c>
      <c r="J37" s="176" t="n">
        <v>1</v>
      </c>
      <c r="K37" s="176" t="n">
        <v>1</v>
      </c>
      <c r="L37" s="176" t="n"/>
      <c r="M37" s="176" t="n">
        <v>2</v>
      </c>
      <c r="N37" s="176" t="n"/>
      <c r="O37" s="176" t="n"/>
      <c r="P37" s="176" t="n"/>
      <c r="Q37" s="176" t="n"/>
      <c r="R37" s="176" t="n">
        <v>1</v>
      </c>
      <c r="S37" s="176" t="n"/>
      <c r="T37" s="176" t="n"/>
      <c r="U37" s="176" t="n"/>
      <c r="V37" s="176" t="n"/>
      <c r="W37" s="176" t="n"/>
      <c r="X37" s="176" t="n"/>
      <c r="Y37" s="176" t="n"/>
      <c r="Z37" s="176" t="n"/>
      <c r="AA37" s="176" t="n"/>
      <c r="AB37" s="176" t="n"/>
      <c r="AC37" s="176" t="n">
        <v>1</v>
      </c>
      <c r="AD37" s="177" t="n"/>
      <c r="AE37" s="178" t="n">
        <v>2</v>
      </c>
      <c r="AF37" s="179" t="n">
        <v>5</v>
      </c>
      <c r="AG37" s="179" t="n">
        <v>5</v>
      </c>
      <c r="AH37" s="179" t="n">
        <v>3</v>
      </c>
      <c r="AI37" s="180" t="n">
        <v>5</v>
      </c>
      <c r="AJ37" s="181">
        <f>AE37*$D37</f>
        <v/>
      </c>
      <c r="AK37" s="182">
        <f>AF37*$D37</f>
        <v/>
      </c>
      <c r="AL37" s="182">
        <f>AG37*$D37</f>
        <v/>
      </c>
      <c r="AM37" s="182">
        <f>AH37*$D37</f>
        <v/>
      </c>
      <c r="AN37" s="183">
        <f>AI37*$D37</f>
        <v/>
      </c>
    </row>
    <row r="38">
      <c r="A38" s="109">
        <f>A37+1</f>
        <v/>
      </c>
      <c r="B38" s="212" t="inlineStr">
        <is>
          <t>Size and weight</t>
        </is>
      </c>
      <c r="C38" s="185" t="inlineStr">
        <is>
          <t>Maximum payload</t>
        </is>
      </c>
      <c r="D38" s="174" t="n">
        <v>5.405405405405405</v>
      </c>
      <c r="E38" s="175" t="n">
        <v>-1</v>
      </c>
      <c r="F38" s="176" t="n">
        <v>-1</v>
      </c>
      <c r="G38" s="176" t="n"/>
      <c r="H38" s="176" t="n"/>
      <c r="I38" s="176" t="n"/>
      <c r="J38" s="176" t="n"/>
      <c r="K38" s="176" t="n"/>
      <c r="L38" s="176" t="n"/>
      <c r="M38" s="176" t="n"/>
      <c r="N38" s="176" t="n"/>
      <c r="O38" s="176" t="n"/>
      <c r="P38" s="176" t="n"/>
      <c r="Q38" s="176" t="n"/>
      <c r="R38" s="176" t="n"/>
      <c r="S38" s="176" t="n"/>
      <c r="T38" s="176" t="n"/>
      <c r="U38" s="176" t="n"/>
      <c r="V38" s="176" t="n"/>
      <c r="W38" s="176" t="n"/>
      <c r="X38" s="176" t="n"/>
      <c r="Y38" s="176" t="n"/>
      <c r="Z38" s="176" t="n"/>
      <c r="AA38" s="176" t="n">
        <v>2</v>
      </c>
      <c r="AB38" s="176" t="n">
        <v>2</v>
      </c>
      <c r="AC38" s="176" t="n">
        <v>1</v>
      </c>
      <c r="AD38" s="177" t="n"/>
      <c r="AE38" s="178" t="n">
        <v>3</v>
      </c>
      <c r="AF38" s="179" t="n">
        <v>4</v>
      </c>
      <c r="AG38" s="179" t="n">
        <v>4</v>
      </c>
      <c r="AH38" s="179" t="n">
        <v>3</v>
      </c>
      <c r="AI38" s="180" t="n">
        <v>4</v>
      </c>
      <c r="AJ38" s="181">
        <f>AE38*$D38</f>
        <v/>
      </c>
      <c r="AK38" s="182">
        <f>AF38*$D38</f>
        <v/>
      </c>
      <c r="AL38" s="182">
        <f>AG38*$D38</f>
        <v/>
      </c>
      <c r="AM38" s="182">
        <f>AH38*$D38</f>
        <v/>
      </c>
      <c r="AN38" s="183">
        <f>AI38*$D38</f>
        <v/>
      </c>
    </row>
    <row r="39">
      <c r="A39" s="109">
        <f>A38+1</f>
        <v/>
      </c>
      <c r="B39" s="212" t="inlineStr">
        <is>
          <t>Number and variety of sensors that can be accommodated</t>
        </is>
      </c>
      <c r="C39" s="185" t="inlineStr">
        <is>
          <t xml:space="preserve">Sensor loadout accommodations </t>
        </is>
      </c>
      <c r="D39" s="174" t="n">
        <v>10.81081081081081</v>
      </c>
      <c r="E39" s="175" t="n"/>
      <c r="F39" s="176" t="n"/>
      <c r="G39" s="176" t="n">
        <v>1</v>
      </c>
      <c r="H39" s="176" t="n">
        <v>2</v>
      </c>
      <c r="I39" s="176" t="n">
        <v>1</v>
      </c>
      <c r="J39" s="176" t="n">
        <v>2</v>
      </c>
      <c r="K39" s="176" t="n">
        <v>1</v>
      </c>
      <c r="L39" s="176" t="n">
        <v>-1</v>
      </c>
      <c r="M39" s="176" t="n">
        <v>-1</v>
      </c>
      <c r="N39" s="176" t="n"/>
      <c r="O39" s="176" t="n"/>
      <c r="P39" s="176" t="n"/>
      <c r="Q39" s="176" t="n"/>
      <c r="R39" s="176" t="n"/>
      <c r="S39" s="176" t="n"/>
      <c r="T39" s="176" t="n"/>
      <c r="U39" s="176" t="n"/>
      <c r="V39" s="176" t="n"/>
      <c r="W39" s="176" t="n">
        <v>1</v>
      </c>
      <c r="X39" s="176" t="n"/>
      <c r="Y39" s="176" t="n"/>
      <c r="Z39" s="176" t="n"/>
      <c r="AA39" s="176" t="n">
        <v>2</v>
      </c>
      <c r="AB39" s="176" t="n">
        <v>2</v>
      </c>
      <c r="AC39" s="176" t="n">
        <v>2</v>
      </c>
      <c r="AD39" s="177" t="n"/>
      <c r="AE39" s="178" t="n">
        <v>2</v>
      </c>
      <c r="AF39" s="179" t="n">
        <v>4</v>
      </c>
      <c r="AG39" s="179" t="n">
        <v>4</v>
      </c>
      <c r="AH39" s="179" t="n">
        <v>2</v>
      </c>
      <c r="AI39" s="180" t="n">
        <v>4</v>
      </c>
      <c r="AJ39" s="181">
        <f>AE39*$D39</f>
        <v/>
      </c>
      <c r="AK39" s="182">
        <f>AF39*$D39</f>
        <v/>
      </c>
      <c r="AL39" s="182">
        <f>AG39*$D39</f>
        <v/>
      </c>
      <c r="AM39" s="182">
        <f>AH39*$D39</f>
        <v/>
      </c>
      <c r="AN39" s="183">
        <f>AI39*$D39</f>
        <v/>
      </c>
    </row>
    <row r="40">
      <c r="A40" s="109">
        <f>A39+1</f>
        <v/>
      </c>
      <c r="B40" s="184" t="n"/>
      <c r="C40" s="185" t="inlineStr">
        <is>
          <t>Time to switch sensor loadouts</t>
        </is>
      </c>
      <c r="D40" s="174" t="n">
        <v>2.702702702702703</v>
      </c>
      <c r="E40" s="175" t="n"/>
      <c r="F40" s="176" t="n"/>
      <c r="G40" s="176" t="n"/>
      <c r="H40" s="176" t="n">
        <v>1</v>
      </c>
      <c r="I40" s="176" t="n">
        <v>1</v>
      </c>
      <c r="J40" s="176" t="n">
        <v>1</v>
      </c>
      <c r="K40" s="176" t="n">
        <v>1</v>
      </c>
      <c r="L40" s="176" t="n"/>
      <c r="M40" s="176" t="n"/>
      <c r="N40" s="176" t="n"/>
      <c r="O40" s="176" t="n"/>
      <c r="P40" s="176" t="n"/>
      <c r="Q40" s="176" t="n"/>
      <c r="R40" s="176" t="n"/>
      <c r="S40" s="176" t="n"/>
      <c r="T40" s="176" t="n"/>
      <c r="U40" s="176" t="n"/>
      <c r="V40" s="176" t="n"/>
      <c r="W40" s="176" t="n"/>
      <c r="X40" s="176" t="n"/>
      <c r="Y40" s="176" t="n"/>
      <c r="Z40" s="176" t="n"/>
      <c r="AA40" s="176" t="n"/>
      <c r="AB40" s="176" t="n"/>
      <c r="AC40" s="176" t="n">
        <v>1</v>
      </c>
      <c r="AD40" s="177" t="n"/>
      <c r="AE40" s="178" t="n">
        <v>2</v>
      </c>
      <c r="AF40" s="179" t="n">
        <v>3</v>
      </c>
      <c r="AG40" s="179" t="n">
        <v>2</v>
      </c>
      <c r="AH40" s="179" t="n">
        <v>3</v>
      </c>
      <c r="AI40" s="180" t="n">
        <v>2</v>
      </c>
      <c r="AJ40" s="181">
        <f>AE40*$D40</f>
        <v/>
      </c>
      <c r="AK40" s="182">
        <f>AF40*$D40</f>
        <v/>
      </c>
      <c r="AL40" s="182">
        <f>AG40*$D40</f>
        <v/>
      </c>
      <c r="AM40" s="182">
        <f>AH40*$D40</f>
        <v/>
      </c>
      <c r="AN40" s="183">
        <f>AI40*$D40</f>
        <v/>
      </c>
    </row>
    <row r="41">
      <c r="A41" s="109">
        <f>A40+1</f>
        <v/>
      </c>
      <c r="B41" s="184" t="inlineStr">
        <is>
          <t>Mean time between failures</t>
        </is>
      </c>
      <c r="C41" s="185" t="inlineStr">
        <is>
          <t>Robustness</t>
        </is>
      </c>
      <c r="D41" s="174" t="n">
        <v>8.108108108108109</v>
      </c>
      <c r="E41" s="175" t="n"/>
      <c r="F41" s="176" t="n"/>
      <c r="G41" s="176" t="n"/>
      <c r="H41" s="176" t="n"/>
      <c r="I41" s="176" t="n"/>
      <c r="J41" s="176" t="n"/>
      <c r="K41" s="176" t="n"/>
      <c r="L41" s="176" t="n">
        <v>1</v>
      </c>
      <c r="M41" s="176" t="n"/>
      <c r="N41" s="176" t="n"/>
      <c r="O41" s="176" t="n">
        <v>1</v>
      </c>
      <c r="P41" s="176" t="n">
        <v>1</v>
      </c>
      <c r="Q41" s="176" t="n"/>
      <c r="R41" s="176" t="n">
        <v>1</v>
      </c>
      <c r="S41" s="176" t="n">
        <v>-1</v>
      </c>
      <c r="T41" s="176" t="n"/>
      <c r="U41" s="176" t="n">
        <v>-1</v>
      </c>
      <c r="V41" s="176" t="n"/>
      <c r="W41" s="176" t="n"/>
      <c r="X41" s="176" t="n"/>
      <c r="Y41" s="176" t="n"/>
      <c r="Z41" s="176" t="n">
        <v>2</v>
      </c>
      <c r="AA41" s="176" t="n"/>
      <c r="AB41" s="176" t="n"/>
      <c r="AC41" s="176" t="n"/>
      <c r="AD41" s="177" t="n">
        <v>1</v>
      </c>
      <c r="AE41" s="178" t="n">
        <v>2</v>
      </c>
      <c r="AF41" s="179" t="n">
        <v>4</v>
      </c>
      <c r="AG41" s="179" t="n">
        <v>4</v>
      </c>
      <c r="AH41" s="179" t="n">
        <v>3</v>
      </c>
      <c r="AI41" s="180" t="n">
        <v>4</v>
      </c>
      <c r="AJ41" s="181">
        <f>AE41*$D41</f>
        <v/>
      </c>
      <c r="AK41" s="182">
        <f>AF41*$D41</f>
        <v/>
      </c>
      <c r="AL41" s="182">
        <f>AG41*$D41</f>
        <v/>
      </c>
      <c r="AM41" s="182">
        <f>AH41*$D41</f>
        <v/>
      </c>
      <c r="AN41" s="183">
        <f>AI41*$D41</f>
        <v/>
      </c>
    </row>
    <row r="42">
      <c r="A42" s="109">
        <f>A41+1</f>
        <v/>
      </c>
      <c r="B42" s="184" t="inlineStr">
        <is>
          <t>Mean time to repair</t>
        </is>
      </c>
      <c r="C42" s="185" t="inlineStr">
        <is>
          <t>Maintenance</t>
        </is>
      </c>
      <c r="D42" s="174" t="n">
        <v>2.702702702702703</v>
      </c>
      <c r="E42" s="175" t="n">
        <v>-1</v>
      </c>
      <c r="F42" s="176" t="n"/>
      <c r="G42" s="176" t="n"/>
      <c r="H42" s="176" t="n">
        <v>-1</v>
      </c>
      <c r="I42" s="176" t="n"/>
      <c r="J42" s="176" t="n"/>
      <c r="K42" s="176" t="n"/>
      <c r="L42" s="176" t="n"/>
      <c r="M42" s="176" t="n"/>
      <c r="N42" s="176" t="n"/>
      <c r="O42" s="176" t="n"/>
      <c r="P42" s="176" t="n"/>
      <c r="Q42" s="176" t="n"/>
      <c r="R42" s="176" t="n"/>
      <c r="S42" s="176" t="n"/>
      <c r="T42" s="176" t="n">
        <v>1</v>
      </c>
      <c r="U42" s="176" t="n">
        <v>1</v>
      </c>
      <c r="V42" s="176" t="n">
        <v>1</v>
      </c>
      <c r="W42" s="176" t="n">
        <v>1</v>
      </c>
      <c r="X42" s="176" t="n">
        <v>1</v>
      </c>
      <c r="Y42" s="176" t="n"/>
      <c r="Z42" s="176" t="n"/>
      <c r="AA42" s="176" t="n"/>
      <c r="AB42" s="176" t="n"/>
      <c r="AC42" s="176" t="n"/>
      <c r="AD42" s="177" t="n"/>
      <c r="AE42" s="178" t="n">
        <v>2</v>
      </c>
      <c r="AF42" s="179" t="n">
        <v>3</v>
      </c>
      <c r="AG42" s="179" t="n">
        <v>2</v>
      </c>
      <c r="AH42" s="179" t="n">
        <v>3</v>
      </c>
      <c r="AI42" s="180" t="n">
        <v>2</v>
      </c>
      <c r="AJ42" s="181">
        <f>AE42*$D42</f>
        <v/>
      </c>
      <c r="AK42" s="182">
        <f>AF42*$D42</f>
        <v/>
      </c>
      <c r="AL42" s="182">
        <f>AG42*$D42</f>
        <v/>
      </c>
      <c r="AM42" s="182">
        <f>AH42*$D42</f>
        <v/>
      </c>
      <c r="AN42" s="183">
        <f>AI42*$D42</f>
        <v/>
      </c>
    </row>
    <row r="43">
      <c r="A43" s="109">
        <f>A42+1</f>
        <v/>
      </c>
      <c r="B43" s="184" t="n"/>
      <c r="C43" s="185" t="inlineStr">
        <is>
          <t>Safety</t>
        </is>
      </c>
      <c r="D43" s="174" t="n">
        <v>10.81081081081081</v>
      </c>
      <c r="E43" s="175" t="n">
        <v>-2</v>
      </c>
      <c r="F43" s="176" t="n">
        <v>-1</v>
      </c>
      <c r="G43" s="176" t="n"/>
      <c r="H43" s="176" t="n"/>
      <c r="I43" s="176" t="n"/>
      <c r="J43" s="176" t="n"/>
      <c r="K43" s="176" t="n"/>
      <c r="L43" s="176" t="n">
        <v>2</v>
      </c>
      <c r="M43" s="176" t="n"/>
      <c r="N43" s="176" t="n">
        <v>1</v>
      </c>
      <c r="O43" s="176" t="n">
        <v>1</v>
      </c>
      <c r="P43" s="176" t="n"/>
      <c r="Q43" s="176" t="n">
        <v>2</v>
      </c>
      <c r="R43" s="176" t="n">
        <v>2</v>
      </c>
      <c r="S43" s="176" t="n"/>
      <c r="T43" s="176" t="n"/>
      <c r="U43" s="176" t="n"/>
      <c r="V43" s="176" t="n"/>
      <c r="W43" s="176" t="n"/>
      <c r="X43" s="176" t="n"/>
      <c r="Y43" s="176" t="n"/>
      <c r="Z43" s="176" t="n"/>
      <c r="AA43" s="176" t="n">
        <v>-1</v>
      </c>
      <c r="AB43" s="176" t="n"/>
      <c r="AC43" s="176" t="n"/>
      <c r="AD43" s="177" t="n"/>
      <c r="AE43" s="178" t="n">
        <v>3</v>
      </c>
      <c r="AF43" s="179" t="n">
        <v>5</v>
      </c>
      <c r="AG43" s="179" t="n">
        <v>5</v>
      </c>
      <c r="AH43" s="179" t="n">
        <v>3</v>
      </c>
      <c r="AI43" s="180" t="n">
        <v>5</v>
      </c>
      <c r="AJ43" s="181">
        <f>AE43*$D43</f>
        <v/>
      </c>
      <c r="AK43" s="182">
        <f>AF43*$D43</f>
        <v/>
      </c>
      <c r="AL43" s="182">
        <f>AG43*$D43</f>
        <v/>
      </c>
      <c r="AM43" s="182">
        <f>AH43*$D43</f>
        <v/>
      </c>
      <c r="AN43" s="183">
        <f>AI43*$D43</f>
        <v/>
      </c>
    </row>
    <row r="44" ht="17" customHeight="1" thickBot="1">
      <c r="A44" s="109">
        <f>A43+1</f>
        <v/>
      </c>
      <c r="B44" s="186" t="n"/>
      <c r="C44" s="187" t="inlineStr">
        <is>
          <t>Coolness</t>
        </is>
      </c>
      <c r="D44" s="188" t="n">
        <v>8.108108108108109</v>
      </c>
      <c r="E44" s="189" t="n">
        <v>2</v>
      </c>
      <c r="F44" s="190" t="n">
        <v>1</v>
      </c>
      <c r="G44" s="190" t="n"/>
      <c r="H44" s="190" t="n"/>
      <c r="I44" s="190" t="n"/>
      <c r="J44" s="190" t="n"/>
      <c r="K44" s="190" t="n"/>
      <c r="L44" s="190" t="n">
        <v>1</v>
      </c>
      <c r="M44" s="190" t="n"/>
      <c r="N44" s="190" t="n"/>
      <c r="O44" s="190" t="n">
        <v>1</v>
      </c>
      <c r="P44" s="190" t="n"/>
      <c r="Q44" s="190" t="n">
        <v>1</v>
      </c>
      <c r="R44" s="190" t="n"/>
      <c r="S44" s="190" t="n"/>
      <c r="T44" s="190" t="n"/>
      <c r="U44" s="190" t="n"/>
      <c r="V44" s="190" t="n"/>
      <c r="W44" s="190" t="n"/>
      <c r="X44" s="190" t="n"/>
      <c r="Y44" s="190" t="n"/>
      <c r="Z44" s="190" t="n"/>
      <c r="AA44" s="190" t="n"/>
      <c r="AB44" s="190" t="n"/>
      <c r="AC44" s="190" t="n">
        <v>1</v>
      </c>
      <c r="AD44" s="191" t="n"/>
      <c r="AE44" s="192" t="n">
        <v>3</v>
      </c>
      <c r="AF44" s="193" t="n">
        <v>5</v>
      </c>
      <c r="AG44" s="193" t="n">
        <v>3</v>
      </c>
      <c r="AH44" s="193" t="n">
        <v>4</v>
      </c>
      <c r="AI44" s="194" t="n">
        <v>2</v>
      </c>
      <c r="AJ44" s="195">
        <f>AE44*$D44</f>
        <v/>
      </c>
      <c r="AK44" s="196">
        <f>AF44*$D44</f>
        <v/>
      </c>
      <c r="AL44" s="196">
        <f>AG44*$D44</f>
        <v/>
      </c>
      <c r="AM44" s="196">
        <f>AH44*$D44</f>
        <v/>
      </c>
      <c r="AN44" s="197">
        <f>AI44*$D44</f>
        <v/>
      </c>
    </row>
    <row r="45" ht="34" customHeight="1">
      <c r="B45" s="135" t="inlineStr">
        <is>
          <t>Competitor Legend</t>
        </is>
      </c>
      <c r="C45" s="237" t="inlineStr">
        <is>
          <t>Measurement Units</t>
        </is>
      </c>
      <c r="D45" s="249" t="n"/>
      <c r="E45" s="198" t="inlineStr">
        <is>
          <t>m/s</t>
        </is>
      </c>
      <c r="F45" s="198" t="inlineStr">
        <is>
          <t>m/s2</t>
        </is>
      </c>
      <c r="G45" s="198" t="inlineStr">
        <is>
          <t>Ghz</t>
        </is>
      </c>
      <c r="H45" s="198" t="inlineStr">
        <is>
          <t>#</t>
        </is>
      </c>
      <c r="I45" s="198" t="inlineStr">
        <is>
          <t>#</t>
        </is>
      </c>
      <c r="J45" s="198" t="inlineStr">
        <is>
          <t>#</t>
        </is>
      </c>
      <c r="K45" s="198" t="inlineStr">
        <is>
          <t>#</t>
        </is>
      </c>
      <c r="L45" s="198" t="inlineStr">
        <is>
          <t>T.U1</t>
        </is>
      </c>
      <c r="M45" s="198" t="inlineStr">
        <is>
          <t>T.U2</t>
        </is>
      </c>
      <c r="N45" s="198" t="inlineStr">
        <is>
          <t>T.U3</t>
        </is>
      </c>
      <c r="O45" s="198" t="inlineStr">
        <is>
          <t>T.U4</t>
        </is>
      </c>
      <c r="P45" s="198" t="inlineStr">
        <is>
          <t>T.U5</t>
        </is>
      </c>
      <c r="Q45" s="198" t="inlineStr">
        <is>
          <t>T.U6</t>
        </is>
      </c>
      <c r="R45" s="198" t="inlineStr">
        <is>
          <t>T.U7</t>
        </is>
      </c>
      <c r="S45" s="198" t="inlineStr">
        <is>
          <t>$</t>
        </is>
      </c>
      <c r="T45" s="198" t="inlineStr">
        <is>
          <t>$</t>
        </is>
      </c>
      <c r="U45" s="198" t="inlineStr">
        <is>
          <t>$</t>
        </is>
      </c>
      <c r="V45" s="198" t="inlineStr">
        <is>
          <t>$</t>
        </is>
      </c>
      <c r="W45" s="198" t="inlineStr">
        <is>
          <t>min</t>
        </is>
      </c>
      <c r="X45" s="198" t="inlineStr">
        <is>
          <t>min</t>
        </is>
      </c>
      <c r="Y45" s="198" t="inlineStr">
        <is>
          <t>hr</t>
        </is>
      </c>
      <c r="Z45" s="198" t="inlineStr">
        <is>
          <t>N</t>
        </is>
      </c>
      <c r="AA45" s="198" t="inlineStr">
        <is>
          <t>kg</t>
        </is>
      </c>
      <c r="AB45" s="198" t="inlineStr">
        <is>
          <t>m3</t>
        </is>
      </c>
      <c r="AC45" s="198" t="inlineStr">
        <is>
          <t>m3</t>
        </is>
      </c>
      <c r="AD45" s="199" t="inlineStr">
        <is>
          <t>Amp-hr</t>
        </is>
      </c>
      <c r="AJ45" s="200">
        <f>SUM(AJ33:AJ44)</f>
        <v/>
      </c>
      <c r="AK45" s="200">
        <f>SUM(AK33:AK44)</f>
        <v/>
      </c>
      <c r="AL45" s="200">
        <f>SUM(AL33:AL44)</f>
        <v/>
      </c>
      <c r="AM45" s="200">
        <f>SUM(AM33:AM44)</f>
        <v/>
      </c>
      <c r="AN45" s="200">
        <f>SUM(AN33:AN44)</f>
        <v/>
      </c>
      <c r="AP45" s="201" t="n"/>
    </row>
    <row r="46">
      <c r="B46" s="111" t="inlineStr">
        <is>
          <t>B</t>
        </is>
      </c>
      <c r="C46" s="228" t="inlineStr">
        <is>
          <t>Competitor Name B</t>
        </is>
      </c>
      <c r="D46" s="250" t="n"/>
      <c r="E46" s="120" t="n">
        <v>2</v>
      </c>
      <c r="F46" s="120" t="n">
        <v>4.5</v>
      </c>
      <c r="G46" s="120" t="n">
        <v>2.4</v>
      </c>
      <c r="H46" s="120" t="n">
        <v>2</v>
      </c>
      <c r="I46" s="120" t="n">
        <v>2</v>
      </c>
      <c r="J46" s="120" t="n">
        <v>2</v>
      </c>
      <c r="K46" s="120" t="n">
        <v>4</v>
      </c>
      <c r="L46" s="120" t="n">
        <v>3</v>
      </c>
      <c r="M46" s="120" t="n">
        <v>2</v>
      </c>
      <c r="N46" s="120" t="n">
        <v>2</v>
      </c>
      <c r="O46" s="120" t="n">
        <v>2</v>
      </c>
      <c r="P46" s="120" t="n">
        <v>2</v>
      </c>
      <c r="Q46" s="120" t="n">
        <v>2</v>
      </c>
      <c r="R46" s="120" t="n">
        <v>2</v>
      </c>
      <c r="S46" s="120" t="n">
        <v>3500</v>
      </c>
      <c r="T46" s="120" t="n">
        <v>500</v>
      </c>
      <c r="U46" s="120" t="n">
        <v>800</v>
      </c>
      <c r="V46" s="120" t="n">
        <v>200</v>
      </c>
      <c r="W46" s="120" t="n">
        <v>60</v>
      </c>
      <c r="X46" s="120" t="n">
        <v>240</v>
      </c>
      <c r="Y46" s="120" t="n">
        <v>80</v>
      </c>
      <c r="Z46" s="120" t="inlineStr">
        <is>
          <t>N/A</t>
        </is>
      </c>
      <c r="AA46" s="120" t="n">
        <v>2</v>
      </c>
      <c r="AB46" s="202" t="n">
        <v>0.02</v>
      </c>
      <c r="AC46" s="202" t="n">
        <v>0.01</v>
      </c>
      <c r="AD46" s="203" t="n">
        <v>4</v>
      </c>
    </row>
    <row r="47">
      <c r="B47" s="111" t="inlineStr">
        <is>
          <t>C</t>
        </is>
      </c>
      <c r="C47" s="228" t="inlineStr">
        <is>
          <t>Competitor Name C</t>
        </is>
      </c>
      <c r="D47" s="250" t="n"/>
      <c r="E47" s="120" t="n">
        <v>0.5</v>
      </c>
      <c r="F47" s="120" t="n">
        <v>1</v>
      </c>
      <c r="G47" s="120" t="n">
        <v>3</v>
      </c>
      <c r="H47" s="120" t="n">
        <v>4</v>
      </c>
      <c r="I47" s="120" t="n">
        <v>8</v>
      </c>
      <c r="J47" s="120" t="n">
        <v>4</v>
      </c>
      <c r="K47" s="120" t="n">
        <v>4</v>
      </c>
      <c r="L47" s="120" t="n">
        <v>5</v>
      </c>
      <c r="M47" s="120" t="n">
        <v>7</v>
      </c>
      <c r="N47" s="120" t="n">
        <v>6</v>
      </c>
      <c r="O47" s="120" t="n">
        <v>7</v>
      </c>
      <c r="P47" s="120" t="n">
        <v>3</v>
      </c>
      <c r="Q47" s="120" t="n">
        <v>5</v>
      </c>
      <c r="R47" s="120" t="n">
        <v>4</v>
      </c>
      <c r="S47" s="120" t="n">
        <v>2500</v>
      </c>
      <c r="T47" s="120" t="n">
        <v>200</v>
      </c>
      <c r="U47" s="120" t="n">
        <v>1500</v>
      </c>
      <c r="V47" s="120" t="n">
        <v>300</v>
      </c>
      <c r="W47" s="120" t="n">
        <v>120</v>
      </c>
      <c r="X47" s="120" t="n">
        <v>300</v>
      </c>
      <c r="Y47" s="120" t="n">
        <v>100</v>
      </c>
      <c r="Z47" s="120" t="inlineStr">
        <is>
          <t>N/A</t>
        </is>
      </c>
      <c r="AA47" s="120" t="n">
        <v>5</v>
      </c>
      <c r="AB47" s="120" t="n">
        <v>0.015</v>
      </c>
      <c r="AC47" s="120" t="n">
        <v>0.015</v>
      </c>
      <c r="AD47" s="203" t="n">
        <v>5</v>
      </c>
      <c r="AI47" s="118" t="n"/>
    </row>
    <row r="48">
      <c r="B48" s="111" t="n"/>
      <c r="C48" s="228" t="inlineStr">
        <is>
          <t>(External) Requirement Thresholds</t>
        </is>
      </c>
      <c r="D48" s="250" t="n"/>
      <c r="E48" s="120" t="n">
        <v>0.5</v>
      </c>
      <c r="F48" s="120" t="n">
        <v>0.5</v>
      </c>
      <c r="G48" s="120" t="inlineStr">
        <is>
          <t>N/A</t>
        </is>
      </c>
      <c r="H48" s="120" t="inlineStr">
        <is>
          <t>N/A</t>
        </is>
      </c>
      <c r="I48" s="120" t="n">
        <v>2</v>
      </c>
      <c r="J48" s="120" t="n">
        <v>1</v>
      </c>
      <c r="K48" s="120" t="n">
        <v>1</v>
      </c>
      <c r="L48" s="120" t="inlineStr">
        <is>
          <t>N/A</t>
        </is>
      </c>
      <c r="M48" s="120" t="inlineStr">
        <is>
          <t>N/A</t>
        </is>
      </c>
      <c r="N48" s="120" t="n">
        <v>1</v>
      </c>
      <c r="O48" s="120" t="inlineStr">
        <is>
          <t>N/A</t>
        </is>
      </c>
      <c r="P48" s="120" t="inlineStr">
        <is>
          <t>N/A</t>
        </is>
      </c>
      <c r="Q48" s="120" t="inlineStr">
        <is>
          <t>N/A</t>
        </is>
      </c>
      <c r="R48" s="120" t="inlineStr">
        <is>
          <t>N/A</t>
        </is>
      </c>
      <c r="S48" s="120" t="inlineStr">
        <is>
          <t>N/A</t>
        </is>
      </c>
      <c r="T48" s="120" t="inlineStr">
        <is>
          <t>N/A</t>
        </is>
      </c>
      <c r="U48" s="120" t="inlineStr">
        <is>
          <t>N/A</t>
        </is>
      </c>
      <c r="V48" s="120" t="inlineStr">
        <is>
          <t>N/A</t>
        </is>
      </c>
      <c r="W48" s="120" t="n">
        <v>180</v>
      </c>
      <c r="X48" s="120" t="inlineStr">
        <is>
          <t>N/A</t>
        </is>
      </c>
      <c r="Y48" s="120" t="inlineStr">
        <is>
          <t>N/A</t>
        </is>
      </c>
      <c r="Z48" s="120" t="inlineStr">
        <is>
          <t>N/A</t>
        </is>
      </c>
      <c r="AA48" s="120" t="n">
        <v>2</v>
      </c>
      <c r="AB48" s="120" t="inlineStr">
        <is>
          <t>N/A</t>
        </is>
      </c>
      <c r="AC48" s="120" t="inlineStr">
        <is>
          <t>N/A</t>
        </is>
      </c>
      <c r="AD48" s="203" t="inlineStr">
        <is>
          <t>N/A</t>
        </is>
      </c>
      <c r="AI48" s="118" t="n"/>
    </row>
    <row r="49">
      <c r="B49" s="111" t="n"/>
      <c r="C49" s="232" t="inlineStr">
        <is>
          <t>Targets</t>
        </is>
      </c>
      <c r="D49" s="250" t="n"/>
      <c r="E49" s="204" t="n">
        <v>1</v>
      </c>
      <c r="F49" s="204" t="n">
        <v>2</v>
      </c>
      <c r="G49" s="204" t="n">
        <v>3.2</v>
      </c>
      <c r="H49" s="204" t="n">
        <v>4</v>
      </c>
      <c r="I49" s="204" t="n">
        <v>8</v>
      </c>
      <c r="J49" s="204" t="n">
        <v>6</v>
      </c>
      <c r="K49" s="204" t="n">
        <v>5</v>
      </c>
      <c r="L49" s="204" t="n">
        <v>6</v>
      </c>
      <c r="M49" s="204" t="n">
        <v>7</v>
      </c>
      <c r="N49" s="204" t="n">
        <v>7</v>
      </c>
      <c r="O49" s="204" t="n">
        <v>7</v>
      </c>
      <c r="P49" s="204" t="n">
        <v>4</v>
      </c>
      <c r="Q49" s="204" t="n">
        <v>5</v>
      </c>
      <c r="R49" s="204" t="n">
        <v>5</v>
      </c>
      <c r="S49" s="204" t="n">
        <v>3000</v>
      </c>
      <c r="T49" s="204" t="n">
        <v>250</v>
      </c>
      <c r="U49" s="204" t="n">
        <v>1500</v>
      </c>
      <c r="V49" s="204" t="n">
        <v>300</v>
      </c>
      <c r="W49" s="204" t="n">
        <v>145</v>
      </c>
      <c r="X49" s="204" t="n">
        <v>200</v>
      </c>
      <c r="Y49" s="204" t="n">
        <v>100</v>
      </c>
      <c r="Z49" s="204" t="inlineStr">
        <is>
          <t>TBD</t>
        </is>
      </c>
      <c r="AA49" s="204" t="n">
        <v>5</v>
      </c>
      <c r="AB49" s="204" t="n">
        <v>0.01</v>
      </c>
      <c r="AC49" s="204" t="n">
        <v>0.015</v>
      </c>
      <c r="AD49" s="205" t="n">
        <v>5</v>
      </c>
      <c r="AI49" s="118" t="n"/>
    </row>
    <row r="50">
      <c r="B50" s="111" t="n"/>
      <c r="C50" s="228" t="inlineStr">
        <is>
          <t>Imputed Importance</t>
        </is>
      </c>
      <c r="D50" s="250" t="n"/>
      <c r="E50" s="206">
        <f>SUMPRODUCT((ABS(E33:E44)), $D33:$D44)</f>
        <v/>
      </c>
      <c r="F50" s="206" t="n">
        <v>54.05405405405405</v>
      </c>
      <c r="G50" s="206" t="n">
        <v>62.16216216216216</v>
      </c>
      <c r="H50" s="206" t="n">
        <v>51.35135135135135</v>
      </c>
      <c r="I50" s="206" t="n">
        <v>45.94594594594595</v>
      </c>
      <c r="J50" s="206" t="n">
        <v>43.24324324324324</v>
      </c>
      <c r="K50" s="206" t="n">
        <v>43.24324324324324</v>
      </c>
      <c r="L50" s="206" t="n">
        <v>75.67567567567569</v>
      </c>
      <c r="M50" s="206" t="n">
        <v>51.35135135135135</v>
      </c>
      <c r="N50" s="206" t="n">
        <v>45.94594594594595</v>
      </c>
      <c r="O50" s="206" t="n">
        <v>54.05405405405406</v>
      </c>
      <c r="P50" s="206" t="n">
        <v>10.81081081081081</v>
      </c>
      <c r="Q50" s="206" t="n">
        <v>64.86486486486487</v>
      </c>
      <c r="R50" s="206" t="n">
        <v>59.45945945945946</v>
      </c>
      <c r="S50" s="206" t="n">
        <v>16.21621621621622</v>
      </c>
      <c r="T50" s="206" t="n">
        <v>2.702702702702703</v>
      </c>
      <c r="U50" s="206" t="n">
        <v>2.702702702702703</v>
      </c>
      <c r="V50" s="206" t="n">
        <v>2.702702702702703</v>
      </c>
      <c r="W50" s="206" t="n">
        <v>18.91891891891892</v>
      </c>
      <c r="X50" s="206" t="n">
        <v>2.702702702702703</v>
      </c>
      <c r="Y50" s="206" t="n">
        <v>0</v>
      </c>
      <c r="Z50" s="206" t="n">
        <v>16.21621621621622</v>
      </c>
      <c r="AA50" s="206" t="n">
        <v>51.35135135135135</v>
      </c>
      <c r="AB50" s="206" t="n">
        <v>43.24324324324324</v>
      </c>
      <c r="AC50" s="206" t="n">
        <v>67.56756756756756</v>
      </c>
      <c r="AD50" s="207" t="n">
        <v>5.405405405405405</v>
      </c>
      <c r="AI50" s="118" t="n"/>
    </row>
    <row r="51">
      <c r="B51" s="111" t="n"/>
      <c r="C51" s="228" t="inlineStr">
        <is>
          <t>Positive Imputed Importance</t>
        </is>
      </c>
      <c r="D51" s="250" t="n"/>
      <c r="E51" s="206">
        <f>(SUMPRODUCT(E33:E44, $D33:$D44) + SUMPRODUCT((ABS(E33:E44)), $D33:$D44))/2</f>
        <v/>
      </c>
      <c r="F51" s="206">
        <f>(SUMPRODUCT(F33:F44, $D33:$D44) + SUMPRODUCT((ABS(F33:F44)), $D33:$D44))/2</f>
        <v/>
      </c>
      <c r="G51" s="206">
        <f>(SUMPRODUCT(G33:G44, $D33:$D44) + SUMPRODUCT((ABS(G33:G44)), $D33:$D44))/2</f>
        <v/>
      </c>
      <c r="H51" s="206">
        <f>(SUMPRODUCT(H33:H44, $D33:$D44) + SUMPRODUCT((ABS(H33:H44)), $D33:$D44))/2</f>
        <v/>
      </c>
      <c r="I51" s="206">
        <f>(SUMPRODUCT(I33:I44, $D33:$D44) + SUMPRODUCT((ABS(I33:I44)), $D33:$D44))/2</f>
        <v/>
      </c>
      <c r="J51" s="206">
        <f>(SUMPRODUCT(J33:J44, $D33:$D44) + SUMPRODUCT((ABS(J33:J44)), $D33:$D44))/2</f>
        <v/>
      </c>
      <c r="K51" s="206">
        <f>(SUMPRODUCT(K33:K44, $D33:$D44) + SUMPRODUCT((ABS(K33:K44)), $D33:$D44))/2</f>
        <v/>
      </c>
      <c r="L51" s="206">
        <f>(SUMPRODUCT(L33:L44, $D33:$D44) + SUMPRODUCT((ABS(L33:L44)), $D33:$D44))/2</f>
        <v/>
      </c>
      <c r="M51" s="206">
        <f>(SUMPRODUCT(M33:M44, $D33:$D44) + SUMPRODUCT((ABS(M33:M44)), $D33:$D44))/2</f>
        <v/>
      </c>
      <c r="N51" s="206">
        <f>(SUMPRODUCT(N33:N44, $D33:$D44) + SUMPRODUCT((ABS(N33:N44)), $D33:$D44))/2</f>
        <v/>
      </c>
      <c r="O51" s="206">
        <f>(SUMPRODUCT(O33:O44, $D33:$D44) + SUMPRODUCT((ABS(O33:O44)), $D33:$D44))/2</f>
        <v/>
      </c>
      <c r="P51" s="206">
        <f>(SUMPRODUCT(P33:P44, $D33:$D44) + SUMPRODUCT((ABS(P33:P44)), $D33:$D44))/2</f>
        <v/>
      </c>
      <c r="Q51" s="206">
        <f>(SUMPRODUCT(Q33:Q44, $D33:$D44) + SUMPRODUCT((ABS(Q33:Q44)), $D33:$D44))/2</f>
        <v/>
      </c>
      <c r="R51" s="206">
        <f>(SUMPRODUCT(R33:R44, $D33:$D44) + SUMPRODUCT((ABS(R33:R44)), $D33:$D44))/2</f>
        <v/>
      </c>
      <c r="S51" s="206">
        <f>(SUMPRODUCT(S33:S44, $D33:$D44) + SUMPRODUCT((ABS(S33:S44)), $D33:$D44))/2</f>
        <v/>
      </c>
      <c r="T51" s="206">
        <f>(SUMPRODUCT(T33:T44, $D33:$D44) + SUMPRODUCT((ABS(T33:T44)), $D33:$D44))/2</f>
        <v/>
      </c>
      <c r="U51" s="206">
        <f>(SUMPRODUCT(U33:U44, $D33:$D44) + SUMPRODUCT((ABS(U33:U44)), $D33:$D44))/2</f>
        <v/>
      </c>
      <c r="V51" s="206">
        <f>(SUMPRODUCT(V33:V44, $D33:$D44) + SUMPRODUCT((ABS(V33:V44)), $D33:$D44))/2</f>
        <v/>
      </c>
      <c r="W51" s="206">
        <f>(SUMPRODUCT(W33:W44, $D33:$D44) + SUMPRODUCT((ABS(W33:W44)), $D33:$D44))/2</f>
        <v/>
      </c>
      <c r="X51" s="206">
        <f>(SUMPRODUCT(X33:X44, $D33:$D44) + SUMPRODUCT((ABS(X33:X44)), $D33:$D44))/2</f>
        <v/>
      </c>
      <c r="Y51" s="206">
        <f>(SUMPRODUCT(Y33:Y44, $D33:$D44) + SUMPRODUCT((ABS(Y33:Y44)), $D33:$D44))/2</f>
        <v/>
      </c>
      <c r="Z51" s="206">
        <f>(SUMPRODUCT(Z33:Z44, $D33:$D44) + SUMPRODUCT((ABS(Z33:Z44)), $D33:$D44))/2</f>
        <v/>
      </c>
      <c r="AA51" s="206">
        <f>(SUMPRODUCT(AA33:AA44, $D33:$D44) + SUMPRODUCT((ABS(AA33:AA44)), $D33:$D44))/2</f>
        <v/>
      </c>
      <c r="AB51" s="206">
        <f>(SUMPRODUCT(AB33:AB44, $D33:$D44) + SUMPRODUCT((ABS(AB33:AB44)), $D33:$D44))/2</f>
        <v/>
      </c>
      <c r="AC51" s="206">
        <f>(SUMPRODUCT(AC33:AC44, $D33:$D44) + SUMPRODUCT((ABS(AC33:AC44)), $D33:$D44))/2</f>
        <v/>
      </c>
      <c r="AD51" s="207">
        <f>(SUMPRODUCT(AD33:AD44, $D33:$D44) + SUMPRODUCT((ABS(AD33:AD44)), $D33:$D44))/2</f>
        <v/>
      </c>
      <c r="AI51" s="118" t="n"/>
    </row>
    <row r="52">
      <c r="B52" s="111" t="n"/>
      <c r="C52" s="228" t="inlineStr">
        <is>
          <t>Negative Imputed Importance</t>
        </is>
      </c>
      <c r="D52" s="250" t="n"/>
      <c r="E52" s="208">
        <f>(-SUMPRODUCT(E33:E44, $D33:$D44)+SUMPRODUCT(ABS(E33:E44), $D33:$D44))/2</f>
        <v/>
      </c>
      <c r="F52" s="208">
        <f>(-SUMPRODUCT(F33:F44, $D33:$D44)+SUMPRODUCT(ABS(F33:F44), $D33:$D44))/2</f>
        <v/>
      </c>
      <c r="G52" s="208">
        <f>(-SUMPRODUCT(G33:G44, $D33:$D44)+SUMPRODUCT(ABS(G33:G44), $D33:$D44))/2</f>
        <v/>
      </c>
      <c r="H52" s="208">
        <f>(-SUMPRODUCT(H33:H44, $D33:$D44)+SUMPRODUCT(ABS(H33:H44), $D33:$D44))/2</f>
        <v/>
      </c>
      <c r="I52" s="208">
        <f>(-SUMPRODUCT(I33:I44, $D33:$D44)+SUMPRODUCT(ABS(I33:I44), $D33:$D44))/2</f>
        <v/>
      </c>
      <c r="J52" s="208">
        <f>(-SUMPRODUCT(J33:J44, $D33:$D44)+SUMPRODUCT(ABS(J33:J44), $D33:$D44))/2</f>
        <v/>
      </c>
      <c r="K52" s="208">
        <f>(-SUMPRODUCT(K33:K44, $D33:$D44)+SUMPRODUCT(ABS(K33:K44), $D33:$D44))/2</f>
        <v/>
      </c>
      <c r="L52" s="208">
        <f>(-SUMPRODUCT(L33:L44, $D33:$D44)+SUMPRODUCT(ABS(L33:L44), $D33:$D44))/2</f>
        <v/>
      </c>
      <c r="M52" s="208">
        <f>(-SUMPRODUCT(M33:M44, $D33:$D44)+SUMPRODUCT(ABS(M33:M44), $D33:$D44))/2</f>
        <v/>
      </c>
      <c r="N52" s="208">
        <f>(-SUMPRODUCT(N33:N44, $D33:$D44)+SUMPRODUCT(ABS(N33:N44), $D33:$D44))/2</f>
        <v/>
      </c>
      <c r="O52" s="208">
        <f>(-SUMPRODUCT(O33:O44, $D33:$D44)+SUMPRODUCT(ABS(O33:O44), $D33:$D44))/2</f>
        <v/>
      </c>
      <c r="P52" s="208">
        <f>(-SUMPRODUCT(P33:P44, $D33:$D44)+SUMPRODUCT(ABS(P33:P44), $D33:$D44))/2</f>
        <v/>
      </c>
      <c r="Q52" s="208">
        <f>(-SUMPRODUCT(Q33:Q44, $D33:$D44)+SUMPRODUCT(ABS(Q33:Q44), $D33:$D44))/2</f>
        <v/>
      </c>
      <c r="R52" s="208">
        <f>(-SUMPRODUCT(R33:R44, $D33:$D44)+SUMPRODUCT(ABS(R33:R44), $D33:$D44))/2</f>
        <v/>
      </c>
      <c r="S52" s="208">
        <f>(-SUMPRODUCT(S33:S44, $D33:$D44)+SUMPRODUCT(ABS(S33:S44), $D33:$D44))/2</f>
        <v/>
      </c>
      <c r="T52" s="208">
        <f>(-SUMPRODUCT(T33:T44, $D33:$D44)+SUMPRODUCT(ABS(T33:T44), $D33:$D44))/2</f>
        <v/>
      </c>
      <c r="U52" s="208">
        <f>(-SUMPRODUCT(U33:U44, $D33:$D44)+SUMPRODUCT(ABS(U33:U44), $D33:$D44))/2</f>
        <v/>
      </c>
      <c r="V52" s="208">
        <f>(-SUMPRODUCT(V33:V44, $D33:$D44)+SUMPRODUCT(ABS(V33:V44), $D33:$D44))/2</f>
        <v/>
      </c>
      <c r="W52" s="208">
        <f>(-SUMPRODUCT(W33:W44, $D33:$D44)+SUMPRODUCT(ABS(W33:W44), $D33:$D44))/2</f>
        <v/>
      </c>
      <c r="X52" s="208">
        <f>(-SUMPRODUCT(X33:X44, $D33:$D44)+SUMPRODUCT(ABS(X33:X44), $D33:$D44))/2</f>
        <v/>
      </c>
      <c r="Y52" s="208">
        <f>(-SUMPRODUCT(Y33:Y44, $D33:$D44)+SUMPRODUCT(ABS(Y33:Y44), $D33:$D44))/2</f>
        <v/>
      </c>
      <c r="Z52" s="208">
        <f>(-SUMPRODUCT(Z33:Z44, $D33:$D44)+SUMPRODUCT(ABS(Z33:Z44), $D33:$D44))/2</f>
        <v/>
      </c>
      <c r="AA52" s="208">
        <f>(-SUMPRODUCT(AA33:AA44, $D33:$D44)+SUMPRODUCT(ABS(AA33:AA44), $D33:$D44))/2</f>
        <v/>
      </c>
      <c r="AB52" s="208">
        <f>(-SUMPRODUCT(AB33:AB44, $D33:$D44)+SUMPRODUCT(ABS(AB33:AB44), $D33:$D44))/2</f>
        <v/>
      </c>
      <c r="AC52" s="208">
        <f>(-SUMPRODUCT(AC33:AC44, $D33:$D44)+SUMPRODUCT(ABS(AC33:AC44), $D33:$D44))/2</f>
        <v/>
      </c>
      <c r="AD52" s="209">
        <f>(-SUMPRODUCT(AD33:AD44, $D33:$D44)+SUMPRODUCT(ABS(AD33:AD44), $D33:$D44))/2</f>
        <v/>
      </c>
      <c r="AI52" s="118" t="n"/>
    </row>
    <row r="53">
      <c r="C53" s="236" t="inlineStr">
        <is>
          <t>Technical Difficulty (1 Low, 5 High)</t>
        </is>
      </c>
      <c r="D53" s="250" t="n"/>
      <c r="E53" s="120" t="n">
        <v>4</v>
      </c>
      <c r="F53" s="120" t="n">
        <v>4</v>
      </c>
      <c r="G53" s="120" t="n">
        <v>1</v>
      </c>
      <c r="H53" s="120" t="n">
        <v>2</v>
      </c>
      <c r="I53" s="120" t="n">
        <v>1</v>
      </c>
      <c r="J53" s="120" t="n">
        <v>2</v>
      </c>
      <c r="K53" s="120" t="n">
        <v>3</v>
      </c>
      <c r="L53" s="120" t="n">
        <v>4</v>
      </c>
      <c r="M53" s="120" t="n">
        <v>4</v>
      </c>
      <c r="N53" s="120" t="n">
        <v>3</v>
      </c>
      <c r="O53" s="120" t="n">
        <v>5</v>
      </c>
      <c r="P53" s="120" t="n">
        <v>2</v>
      </c>
      <c r="Q53" s="120" t="n">
        <v>4</v>
      </c>
      <c r="R53" s="120" t="n">
        <v>5</v>
      </c>
      <c r="S53" s="120" t="n">
        <v>2</v>
      </c>
      <c r="T53" s="120" t="n">
        <v>2</v>
      </c>
      <c r="U53" s="120" t="n">
        <v>4</v>
      </c>
      <c r="V53" s="120" t="n">
        <v>2</v>
      </c>
      <c r="W53" s="120" t="n">
        <v>3</v>
      </c>
      <c r="X53" s="120" t="n">
        <v>2</v>
      </c>
      <c r="Y53" s="120" t="n">
        <v>1</v>
      </c>
      <c r="Z53" s="120" t="n">
        <v>2</v>
      </c>
      <c r="AA53" s="120" t="n">
        <v>1</v>
      </c>
      <c r="AB53" s="120" t="n">
        <v>1</v>
      </c>
      <c r="AC53" s="120" t="n">
        <v>1</v>
      </c>
      <c r="AD53" s="203" t="n">
        <v>3</v>
      </c>
      <c r="AI53" s="118" t="n"/>
    </row>
    <row r="54" ht="17" customHeight="1" thickBot="1">
      <c r="C54" s="234" t="inlineStr">
        <is>
          <t>Estimated Cost (1 Low, 5 High)</t>
        </is>
      </c>
      <c r="D54" s="251" t="n"/>
      <c r="E54" s="210" t="n">
        <v>5</v>
      </c>
      <c r="F54" s="210" t="n">
        <v>5</v>
      </c>
      <c r="G54" s="210" t="n">
        <v>4</v>
      </c>
      <c r="H54" s="210" t="n">
        <v>2</v>
      </c>
      <c r="I54" s="210" t="n">
        <v>1</v>
      </c>
      <c r="J54" s="210" t="n">
        <v>2</v>
      </c>
      <c r="K54" s="210" t="n">
        <v>3</v>
      </c>
      <c r="L54" s="210" t="n">
        <v>4</v>
      </c>
      <c r="M54" s="210" t="n">
        <v>1</v>
      </c>
      <c r="N54" s="210" t="n">
        <v>0</v>
      </c>
      <c r="O54" s="210" t="n">
        <v>0</v>
      </c>
      <c r="P54" s="210" t="n">
        <v>0</v>
      </c>
      <c r="Q54" s="210" t="n">
        <v>0</v>
      </c>
      <c r="R54" s="210" t="n">
        <v>0</v>
      </c>
      <c r="S54" s="210" t="n">
        <v>2</v>
      </c>
      <c r="T54" s="210" t="n">
        <v>2</v>
      </c>
      <c r="U54" s="210" t="n">
        <v>5</v>
      </c>
      <c r="V54" s="210" t="n">
        <v>2</v>
      </c>
      <c r="W54" s="210" t="inlineStr">
        <is>
          <t>N/A</t>
        </is>
      </c>
      <c r="X54" s="210" t="n">
        <v>1</v>
      </c>
      <c r="Y54" s="210" t="n">
        <v>4</v>
      </c>
      <c r="Z54" s="210" t="n">
        <v>1</v>
      </c>
      <c r="AA54" s="210" t="inlineStr">
        <is>
          <t>N/A</t>
        </is>
      </c>
      <c r="AB54" s="210" t="inlineStr">
        <is>
          <t>N/A</t>
        </is>
      </c>
      <c r="AC54" s="210" t="inlineStr">
        <is>
          <t>N/A</t>
        </is>
      </c>
      <c r="AD54" s="211" t="n">
        <v>3</v>
      </c>
      <c r="AI54" s="118" t="n"/>
    </row>
    <row r="55">
      <c r="AI55" s="118" t="n"/>
    </row>
    <row r="56">
      <c r="AI56" s="118" t="n"/>
      <c r="AP56" s="110" t="n"/>
    </row>
    <row r="57">
      <c r="D57" s="109" t="inlineStr">
        <is>
          <t>Table U4: Path Planning Quality Options</t>
        </is>
      </c>
      <c r="AI57" s="118" t="n"/>
      <c r="AO57" s="118" t="n"/>
    </row>
    <row r="58">
      <c r="D58" s="109" t="n">
        <v>1</v>
      </c>
      <c r="E58" s="109" t="inlineStr">
        <is>
          <t>BingBang</t>
        </is>
      </c>
      <c r="AO58" s="118" t="n"/>
    </row>
    <row r="59">
      <c r="D59" s="109" t="n">
        <v>2</v>
      </c>
      <c r="E59" s="109" t="inlineStr">
        <is>
          <t>RRT</t>
        </is>
      </c>
      <c r="AO59" s="118" t="n"/>
    </row>
    <row r="60">
      <c r="D60" s="109" t="n">
        <v>3</v>
      </c>
      <c r="E60" s="109" t="inlineStr">
        <is>
          <t>RRT + BingBang</t>
        </is>
      </c>
      <c r="AO60" s="118" t="n"/>
    </row>
    <row r="61">
      <c r="D61" s="109" t="n">
        <v>4</v>
      </c>
      <c r="E61" s="109" t="inlineStr">
        <is>
          <t>Dijksta's</t>
        </is>
      </c>
      <c r="AO61" s="118" t="n"/>
    </row>
    <row r="62">
      <c r="D62" s="109" t="n">
        <v>5</v>
      </c>
      <c r="E62" s="109" t="inlineStr">
        <is>
          <t>Dijksta's + BingBang</t>
        </is>
      </c>
    </row>
    <row r="63">
      <c r="D63" s="109" t="n">
        <v>6</v>
      </c>
      <c r="E63" s="109" t="inlineStr">
        <is>
          <t>A*</t>
        </is>
      </c>
    </row>
    <row r="64">
      <c r="D64" s="109" t="n">
        <v>7</v>
      </c>
      <c r="E64" s="109" t="inlineStr">
        <is>
          <t>A* + BingBang</t>
        </is>
      </c>
    </row>
    <row r="65">
      <c r="D65" s="109" t="n">
        <v>8</v>
      </c>
      <c r="E65" s="109" t="inlineStr">
        <is>
          <t>Neural Network</t>
        </is>
      </c>
    </row>
    <row r="66">
      <c r="D66" s="109" t="n">
        <v>9</v>
      </c>
      <c r="E66" s="109" t="inlineStr">
        <is>
          <t>Primitives</t>
        </is>
      </c>
    </row>
    <row r="67">
      <c r="D67" s="109" t="n">
        <v>10</v>
      </c>
      <c r="E67" s="109" t="inlineStr">
        <is>
          <t>Primitves + BingBang</t>
        </is>
      </c>
    </row>
    <row r="68">
      <c r="D68" s="109" t="n">
        <v>11</v>
      </c>
      <c r="E68" s="109" t="inlineStr">
        <is>
          <t>G*TA + Diijkstra's</t>
        </is>
      </c>
    </row>
    <row r="69">
      <c r="D69" s="109" t="n">
        <v>12</v>
      </c>
      <c r="E69" s="109" t="inlineStr">
        <is>
          <t>G*TA + Diijkstra's + BingBang</t>
        </is>
      </c>
    </row>
    <row r="70">
      <c r="D70" s="109" t="n">
        <v>13</v>
      </c>
      <c r="E70" s="109" t="inlineStr">
        <is>
          <t>G*TA + Primatives</t>
        </is>
      </c>
    </row>
    <row r="71">
      <c r="D71" s="109" t="n">
        <v>14</v>
      </c>
      <c r="E71" s="109" t="inlineStr">
        <is>
          <t>G*TA + Primitives + BingBang</t>
        </is>
      </c>
    </row>
  </sheetData>
  <mergeCells count="16">
    <mergeCell ref="AJ31:AN31"/>
    <mergeCell ref="B2:C2"/>
    <mergeCell ref="C46:D46"/>
    <mergeCell ref="C47:D47"/>
    <mergeCell ref="C54:D54"/>
    <mergeCell ref="B4:C4"/>
    <mergeCell ref="B19:C19"/>
    <mergeCell ref="C51:D51"/>
    <mergeCell ref="C50:D50"/>
    <mergeCell ref="C45:D45"/>
    <mergeCell ref="AE30:AN30"/>
    <mergeCell ref="C52:D52"/>
    <mergeCell ref="C53:D53"/>
    <mergeCell ref="C48:D48"/>
    <mergeCell ref="AE31:AI31"/>
    <mergeCell ref="C49:D49"/>
  </mergeCells>
  <pageMargins left="0.7" right="0.7" top="0.75" bottom="0.75" header="0.3" footer="0.3"/>
  <pageSetup orientation="portrait"/>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33"/>
  <sheetViews>
    <sheetView topLeftCell="A22" workbookViewId="0">
      <selection activeCell="A46" sqref="A46"/>
    </sheetView>
  </sheetViews>
  <sheetFormatPr baseColWidth="10" defaultColWidth="8.83203125" defaultRowHeight="15"/>
  <cols>
    <col width="112.1640625" customWidth="1" style="1" min="1" max="1"/>
  </cols>
  <sheetData>
    <row r="1" ht="29.25" customFormat="1" customHeight="1" s="2">
      <c r="A1" s="4" t="inlineStr">
        <is>
          <t xml:space="preserve">Engineering Characteristics Explained: </t>
        </is>
      </c>
    </row>
    <row r="2" ht="15.75" customHeight="1">
      <c r="A2" s="5" t="n"/>
    </row>
    <row r="3" ht="51" customFormat="1" customHeight="1" s="3">
      <c r="A3" s="6" t="inlineStr">
        <is>
          <t>Here's some basic background on the engineering characteristics to help you better understand the Robotic Vehicle example in the QFD Sample tab. This is not meant to be a comprehesive system review, but it should put some of what you see in the QFD sample into context.</t>
        </is>
      </c>
    </row>
    <row r="4" ht="16" customFormat="1" customHeight="1" s="3">
      <c r="A4" s="6" t="n"/>
    </row>
    <row r="5" ht="176" customFormat="1" customHeight="1" s="3">
      <c r="A5" s="7" t="inlineStr">
        <is>
          <t>Robot Vehicle Operation
The operation begins with the vehicle getting a command to go to a new destination (the star) and operate its payload and navigation sensors along the way. To perform the "travel to destination" task, the vehicle has a suite of on-board navigation sensors that help it to estimate physical parameters in the world around it and populate a local area “map” (i.e. a grid of square cells) that indicates how safe it is to travel in each cell.
The vehicle then runs a low level controls algorithm to create commands for the vehicle’s motors to drive the vehicle along the calculated path. As the vehicle moves, new sensor information is brought in to update the map and the process repeats itself. This map is then used by a path planning algorithm to determine a route for the vehicle to travel from its current location to the desired destination.</t>
        </is>
      </c>
    </row>
    <row r="6" ht="17" customFormat="1" customHeight="1" s="3">
      <c r="A6" s="6" t="inlineStr">
        <is>
          <t xml:space="preserve">Here's a diagram that shows the steps in the process of the "travel to destination" task. </t>
        </is>
      </c>
    </row>
    <row r="7" ht="299" customFormat="1" customHeight="1" s="3">
      <c r="A7" s="6" t="n"/>
    </row>
    <row r="8" ht="15" customFormat="1" customHeight="1" s="3">
      <c r="A8" s="6" t="n"/>
    </row>
    <row r="9" ht="329" customFormat="1" customHeight="1" s="3">
      <c r="A9" s="7" t="inlineStr">
        <is>
          <t>From the description of the robot vehicle operation, it becomes easier to identify some engineering characteristics. Some of the more obvious characteristics are: 
   • maximum speed
   • sensor accuracy, and 
   • mapping precision (how good our system is at interpreting the sensor data into something meaningful)
Going further, characteristics that could have significant impacts include: 
   • the frequency at which the map is updated
   • the frequency at which the path planning algorithm is re-run to account for any map updates or new destination commands, and 
   • how often adjustments are made to the motor commands. 
These are all important, even though some may not be the first characteristics that come to mind. The precision and accuracy of these last three characteristics will also have a significant performance impact and may vary depending upon how we design our system.
Other aspects of our system in the list include that our vehicle might have different kinds of sensor ports and a different number of each type. To operate those sensors we might need different microcontrollers (smaller, possibly more specialized electronics boards) and a main computer onboard the vehicle. In the list below, “quality” is a general term used where the higher quality an engineering characteristic is made, the more it is assumed to provide better results, but may take more computational resources or require fancier components to operate.</t>
        </is>
      </c>
    </row>
    <row r="10" ht="16" customFormat="1" customHeight="1" s="3">
      <c r="A10" s="6" t="n"/>
    </row>
    <row r="11" ht="20" customFormat="1" customHeight="1" s="3">
      <c r="A11" s="8" t="inlineStr">
        <is>
          <t>ENGINEERING CHARACTERISTICS DESCRIPTIONS</t>
        </is>
      </c>
    </row>
    <row r="12" ht="16" customFormat="1" customHeight="1" s="3">
      <c r="A12" s="6" t="n"/>
    </row>
    <row r="13" ht="51" customFormat="1" customHeight="1" s="3">
      <c r="A13" s="6" t="inlineStr">
        <is>
          <t>• Maximum Speed is how fast the robot can travel. Maximum Acceleration is how quickly the robot can achieve that speed from a stopped position. Maximum Acceleration also relates to how quickly the robot may be able to change direction.</t>
        </is>
      </c>
    </row>
    <row r="14" ht="16" customFormat="1" customHeight="1" s="3">
      <c r="A14" s="6" t="n"/>
    </row>
    <row r="15" ht="131" customFormat="1" customHeight="1" s="3">
      <c r="A15" s="6" t="inlineStr">
        <is>
          <t>• The CPU is the main processing unit which handles many of the more complex computations such as interpreting the sensor data and running the more complex algorithms like the path planning and possibly some of the higher-level controls. Microcontrollers handle simpler computational tasks and the direct input and output commands to other components, such as reading in the sensor data (example of an input), or aiding in sending of the proper voltage to motors so they will actually move (example of an output). Some microcontrollers may be able to do some initial filtering of sensor readings to improve the value of the sensor data. Microcontrollers may also run some simpler lower level controls programs such as helping to make sure the motor wheels are spinning at the desired speed. Determining that desired speed or what to do with those improved sensor readings is handled more often by a CPU.</t>
        </is>
      </c>
    </row>
    <row r="16" ht="16" customFormat="1" customHeight="1" s="3">
      <c r="A16" s="6" t="n"/>
    </row>
    <row r="17" ht="67" customFormat="1" customHeight="1" s="3">
      <c r="A17" s="6" t="inlineStr">
        <is>
          <t>• Sensor Port Type refers to the idea that different sensors have different connection requirements. Some sensors may require more input/output pins on a microcontroller, some may require specific communication protocols, etc. For this example, the QFD is considering 3 different kinds of sets of sensors requirements. The details for each set is not important for this example, but it is worthwhile to recognize that each sensor type may affect the performance criteria differently.</t>
        </is>
      </c>
    </row>
    <row r="18" ht="16" customFormat="1" customHeight="1" s="3">
      <c r="A18" s="6" t="n"/>
    </row>
    <row r="19" ht="51" customFormat="1" customHeight="1" s="3">
      <c r="A19" s="6" t="inlineStr">
        <is>
          <t xml:space="preserve">• Navigation Sensor Quality relates to how accurately the robot can the detect its surroundings. As the quality of these sensors increase, it typically means that the sensors are larger and/or more numerous and also require more computational support to operate and interpret. </t>
        </is>
      </c>
    </row>
    <row r="20" ht="16" customFormat="1" customHeight="1" s="3">
      <c r="A20" s="6" t="n"/>
    </row>
    <row r="21" ht="82" customFormat="1" customHeight="1" s="3">
      <c r="A21" s="6" t="inlineStr">
        <is>
          <t xml:space="preserve">• Sensor Filter Quality is a measure for how much processing the raw sensor data undergoes. Typically, the more filtering, the better the quality (i.e. the more useful and reliable) the resulting processed data is. There is often a diminishing return for the amount of effort put into the sensor filtering and the quality of the resulting processed data, i.e. it’s often easy to filter away some of the larger noise but to get better accuracy, it takes significant effort to tune the filters and/or develop algorithms to refine sets of data. </t>
        </is>
      </c>
    </row>
    <row r="22" ht="16" customFormat="1" customHeight="1" s="3">
      <c r="A22" s="6" t="n"/>
    </row>
    <row r="23" ht="97" customFormat="1" customHeight="1" s="3">
      <c r="A23" s="6" t="inlineStr">
        <is>
          <t>• Path Planning Quality is how good a path one creates, where goodness could be defined by criteria such as minimizing the path length’s distance or maintaining a safe distance from certain obstacles. Control / Path Following Accuracy is how well you follow the path you have created, independent of the speed you are travelling along the path. Controls Quality is related to Control / Path Following Accuracy, but Controls Quality refers to how well your system may be able to react to quick changes in commands or maintain a desired output disturbance (e.g., keep going straight when going over a bump).</t>
        </is>
      </c>
    </row>
    <row r="24" ht="16" customFormat="1" customHeight="1" s="3">
      <c r="A24" s="6" t="n"/>
    </row>
    <row r="25" ht="51" customFormat="1" customHeight="1" s="3">
      <c r="A25" s="6" t="inlineStr">
        <is>
          <t>• Initialization and Calibration Time refers to the time it takes to prepare the robot and all of its sensors, algorithms, etc. for use when it had been brought into new operating conditions or otherwise has been repaired, significantly modified, or reset.</t>
        </is>
      </c>
    </row>
    <row r="26" ht="16" customFormat="1" customHeight="1" s="3">
      <c r="A26" s="6" t="n"/>
    </row>
    <row r="27" ht="34" customFormat="1" customHeight="1" s="3">
      <c r="A27" s="6" t="inlineStr">
        <is>
          <t xml:space="preserve">• Assembly Time is the amount of time it takes to put the robot together for the first time. Manufacturing Time is the amount of time it takes to machine, construct, and otherwise ready all of the components for the robot to be put together. </t>
        </is>
      </c>
    </row>
    <row r="28" ht="16" customFormat="1" customHeight="1" s="3">
      <c r="A28" s="6" t="n"/>
    </row>
    <row r="29" ht="34" customFormat="1" customHeight="1" s="3">
      <c r="A29" s="6" t="inlineStr">
        <is>
          <t>• Frame Strength refers to the amount of force the robot can withstand before enough damage has been done to affect the robot’s performance.</t>
        </is>
      </c>
    </row>
    <row r="30" ht="16" customFormat="1" customHeight="1" s="3">
      <c r="A30" s="6" t="n"/>
    </row>
    <row r="31" ht="64" customFormat="1" customHeight="1" s="3">
      <c r="A31" s="6" t="inlineStr">
        <is>
          <t xml:space="preserve">• Max Payload Weight refers to the maximum amount of weight in addition to that of the robot that can be carried without altering the robot’s performance to be outside of its requirements. Max Payload Size refers to the space available to securely carry a payload. Sensor Bay Size refers to the space, separate from the payload space, that is dedicated to accommodating additional potential on-board sensors. </t>
        </is>
      </c>
    </row>
    <row r="32" ht="16" customFormat="1" customHeight="1" s="3">
      <c r="A32" s="6" t="n"/>
    </row>
    <row r="33" ht="17" customFormat="1" customHeight="1" s="3">
      <c r="A33" s="6" t="inlineStr">
        <is>
          <t>• Battery Capacity refers to the size and energy storage (which are proportionally related) of the on-board batteries.</t>
        </is>
      </c>
    </row>
  </sheetData>
  <pageMargins left="0.7" right="0.7" top="0.75" bottom="0.75" header="0.3" footer="0.3"/>
  <pageSetup orientation="portrait" horizontalDpi="0" verticalDpi="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David R. Schneider</dc:creator>
  <dcterms:created xmlns:dcterms="http://purl.org/dc/terms/" xmlns:xsi="http://www.w3.org/2001/XMLSchema-instance" xsi:type="dcterms:W3CDTF">2014-10-16T03:10:35Z</dcterms:created>
  <dcterms:modified xmlns:dcterms="http://purl.org/dc/terms/" xmlns:xsi="http://www.w3.org/2001/XMLSchema-instance" xsi:type="dcterms:W3CDTF">2026-04-19T20:16:08Z</dcterms:modified>
  <cp:lastModifiedBy>David Ancor</cp:lastModifiedBy>
  <cp:lastPrinted>2026-04-13T02:03:54Z</cp:lastPrinted>
</cp:coreProperties>
</file>