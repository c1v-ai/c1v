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showInkAnnotation="0" autoCompressPictures="0"/>
  <mc:AlternateContent xmlns:mc="http://schemas.openxmlformats.org/markup-compatibility/2006">
    <mc:Choice Requires="x15">
      <x15ac:absPath xmlns:x15ac="http://schemas.microsoft.com/office/spreadsheetml/2010/11/ac" url="/Users/davidancor/Documents/MBA/System Design - eCornell/7 - Identifying and Evaluating Risk/7-identify-evaluate-risk-software/"/>
    </mc:Choice>
  </mc:AlternateContent>
  <xr:revisionPtr revIDLastSave="0" documentId="13_ncr:1_{6EE97986-4AA0-A446-A122-4302A7E2F837}" xr6:coauthVersionLast="47" xr6:coauthVersionMax="47" xr10:uidLastSave="{00000000-0000-0000-0000-000000000000}"/>
  <bookViews>
    <workbookView xWindow="-38400" yWindow="2020" windowWidth="38400" windowHeight="21000" tabRatio="500" activeTab="3" xr2:uid="{00000000-000D-0000-FFFF-FFFF00000000}"/>
  </bookViews>
  <sheets>
    <sheet name="Instructions" sheetId="1" r:id="rId1"/>
    <sheet name="Template" sheetId="3" r:id="rId2"/>
    <sheet name="Sample" sheetId="2" r:id="rId3"/>
    <sheet name="Rating System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E22" i="4" l="1"/>
  <c r="D22" i="4"/>
  <c r="C22" i="4"/>
  <c r="B22" i="4"/>
  <c r="E21" i="4"/>
  <c r="D21" i="4"/>
  <c r="C21" i="4"/>
  <c r="B21" i="4"/>
  <c r="E20" i="4"/>
  <c r="D20" i="4"/>
  <c r="C20" i="4"/>
  <c r="B20" i="4"/>
  <c r="E19" i="4"/>
  <c r="D19" i="4"/>
  <c r="C19" i="4"/>
  <c r="B19" i="4"/>
  <c r="E18" i="4"/>
  <c r="D18" i="4"/>
  <c r="C18" i="4"/>
  <c r="B18" i="4"/>
  <c r="U15" i="2"/>
  <c r="S15" i="2"/>
  <c r="U14" i="2"/>
  <c r="S14" i="2"/>
  <c r="V13" i="2"/>
  <c r="U13" i="2"/>
  <c r="T13" i="2"/>
  <c r="S13" i="2"/>
  <c r="U12" i="2"/>
  <c r="S12" i="2"/>
  <c r="U11" i="2"/>
  <c r="S11" i="2"/>
  <c r="N15" i="2"/>
  <c r="L15" i="2"/>
  <c r="N14" i="2"/>
  <c r="L14" i="2"/>
  <c r="O13" i="2"/>
  <c r="N13" i="2"/>
  <c r="M13" i="2"/>
  <c r="L13" i="2"/>
  <c r="N12" i="2"/>
  <c r="L12" i="2"/>
  <c r="N11" i="2"/>
  <c r="L11" i="2"/>
  <c r="F11" i="2"/>
  <c r="H11" i="2"/>
  <c r="F12" i="2"/>
  <c r="H12" i="2"/>
  <c r="F13" i="2"/>
  <c r="G13" i="2"/>
  <c r="H13" i="2"/>
  <c r="I13" i="2"/>
  <c r="F14" i="2"/>
  <c r="H14" i="2"/>
  <c r="F15" i="2"/>
  <c r="H15" i="2"/>
  <c r="I15" i="2"/>
</calcChain>
</file>

<file path=xl/sharedStrings.xml><?xml version="1.0" encoding="utf-8"?>
<sst xmlns="http://schemas.openxmlformats.org/spreadsheetml/2006/main" count="129" uniqueCount="88">
  <si>
    <t xml:space="preserve">Risk Priority Number (RPN) (=severity * occurrence) </t>
  </si>
  <si>
    <t xml:space="preserve">Risk Criticality (Corrective Action Priority) </t>
  </si>
  <si>
    <t xml:space="preserve">Risk Priority Number (RPN) </t>
  </si>
  <si>
    <t>Occurs between once every 2 weeks to once every 3 months</t>
    <phoneticPr fontId="16" type="noConversion"/>
  </si>
  <si>
    <t>Demand incorrectly larger than necessary, Energy usage is larger than necessary, Bicycle goes far faster than desired</t>
  </si>
  <si>
    <t>Add a shielding cone to the detector. Add a sweep to the emitter just before it passes the detector to help clear off the emitter. Increase the intensity of the emitter. Research more robust parts. Put in a redundant encoder and adjust sensor filter system to account for this redundancy. Ensure manual override system is functioning properly.</t>
    <phoneticPr fontId="16" type="noConversion"/>
  </si>
  <si>
    <t>Increase the robustness of the mechanical housing. Include checking its secureness as part of the recommended start up safety check. Put in a redundant encoder and adjust sensor filter system to account for this redundancy</t>
    <phoneticPr fontId="16" type="noConversion"/>
  </si>
  <si>
    <t>Increase the robustness of the mechanical housing to take stress of cable connections</t>
    <phoneticPr fontId="16" type="noConversion"/>
  </si>
  <si>
    <t>Demand incorrectly smaller than necessary, Energy storage is conserved or even increased more than it should be, Bicycle goes far slower than desired</t>
    <phoneticPr fontId="16" type="noConversion"/>
  </si>
  <si>
    <t>Sensor Filter System reports error. Demand Algorithm reports error. Controller switches to energy storage only, no usage. GUI reports error. Bicycle functions inefficiently until user disengages PMB engine</t>
    <phoneticPr fontId="16" type="noConversion"/>
  </si>
  <si>
    <r>
      <t>Likelihood (</t>
    </r>
    <r>
      <rPr>
        <i/>
        <sz val="11"/>
        <color indexed="8"/>
        <rFont val="Arial"/>
        <family val="2"/>
      </rPr>
      <t>in prototype development: all these levels would be too often for a final product</t>
    </r>
    <r>
      <rPr>
        <b/>
        <sz val="11"/>
        <color indexed="8"/>
        <rFont val="Arial"/>
        <family val="2"/>
      </rPr>
      <t>)</t>
    </r>
  </si>
  <si>
    <t xml:space="preserve">In the next two tabs you can find a Failure Mode and Effects Analysis (FMEA) template and a completed FMEA. Follow the instructions laid out in the activities in the course to complete your own FMEA and assess the risk of failure of your system, as well as corrective actions to be taken. Use the Sample tab to help you through the process.
The Rating Systems tab contains a rating system for likelihood and severity, as well as an RPN definition table. These ratings systems will need to be customized for your system.
</t>
    <phoneticPr fontId="16" type="noConversion"/>
  </si>
  <si>
    <t xml:space="preserve">Possible Cause </t>
  </si>
  <si>
    <t xml:space="preserve">Failure Effects Severity </t>
  </si>
  <si>
    <t xml:space="preserve">Occurrence Likelihood  </t>
  </si>
  <si>
    <t>Reported number of rotations from the IR sensor is too many</t>
  </si>
  <si>
    <t>F.2</t>
  </si>
  <si>
    <t xml:space="preserve">Criticality (Corrective Action Priority) </t>
  </si>
  <si>
    <t>Severity</t>
  </si>
  <si>
    <t>Occurs greater than once a week, Occurs in greater than 10% of the operations</t>
  </si>
  <si>
    <t>Occurs greater than once a week, Occurs in 5-10% of the operations</t>
  </si>
  <si>
    <t>Occurs no more than once a week</t>
  </si>
  <si>
    <t>Occurs less than once every 3 months</t>
  </si>
  <si>
    <t>Risk Priority Number (RPN) Definition Table</t>
  </si>
  <si>
    <t>Risk Criticality Ranges</t>
  </si>
  <si>
    <t>Likelihood</t>
  </si>
  <si>
    <t>15-20</t>
  </si>
  <si>
    <t>High Risk</t>
  </si>
  <si>
    <t>9-14</t>
  </si>
  <si>
    <t>Medium High Risk</t>
  </si>
  <si>
    <t>5-8</t>
  </si>
  <si>
    <t>Medium Risk</t>
  </si>
  <si>
    <t>3-4</t>
  </si>
  <si>
    <t>Medium Low Risk</t>
  </si>
  <si>
    <t>1-2</t>
  </si>
  <si>
    <t>Low Risk</t>
  </si>
  <si>
    <t>Cost is more than 20% of the total budget
Requires more than 2 weeks to address
Performance is adversely affected by greater than 20%
Causes potential harm to a person</t>
  </si>
  <si>
    <t>Cost is 10%-20% of the total budget
Requires 1-2 weeks to address
Performance is adversely affected by 10-20%
No harm to a person</t>
  </si>
  <si>
    <t>Cost is 5%-10% of the total budget
Requires 1-6 days to address
Performance is adversely affected by 5-10%
No harm to a person</t>
  </si>
  <si>
    <t>Cost is less than 5% of the total budget
Requires less than 1 day to address
Performance is adversely affected by less than 5%
No harm to a person</t>
  </si>
  <si>
    <t>Current # of Risks Shown Stoplight Graph</t>
  </si>
  <si>
    <t>MEDIUM HIGH</t>
  </si>
  <si>
    <t>sensor detector or emitter has become loose or is no longer oriented properly</t>
  </si>
  <si>
    <t>Research more robust parts. Put in a redundant encoder and adjust sensor filter system to account for this redundancy. Ensure manual override system is functioning properly.</t>
  </si>
  <si>
    <t>sensor detector or emitter is damaged</t>
  </si>
  <si>
    <t>10 hrs. (See Timeline's IR Sensor Risk Plan E)</t>
  </si>
  <si>
    <t>Use COTS Encoder. Put in a redundant encoder and adjust sensor filter system to account for this redundancy. Ensure manual override system is functioning properly.</t>
  </si>
  <si>
    <t>15 hrs. (See Timeline's IR Sensor Risk Plan B)</t>
  </si>
  <si>
    <t>HIGH</t>
  </si>
  <si>
    <t>sensor detector or emitter is partially blocked or damaged,</t>
  </si>
  <si>
    <t>12 hrs. (See Timeline's IR Sensor Risk Plan B and Plan C)</t>
  </si>
  <si>
    <t>Reported number of rotations from the IR sensor is too few</t>
  </si>
  <si>
    <t>IR Sensor Encoder</t>
  </si>
  <si>
    <r>
      <t>F.1</t>
    </r>
    <r>
      <rPr>
        <sz val="10"/>
        <color indexed="8"/>
        <rFont val="Arial"/>
        <family val="2"/>
      </rPr>
      <t xml:space="preserve"> </t>
    </r>
  </si>
  <si>
    <t>Troubleshooting (optional)</t>
  </si>
  <si>
    <t>Corrective Action Effort</t>
  </si>
  <si>
    <r>
      <t>Criticality (Corrective Action Priority)</t>
    </r>
    <r>
      <rPr>
        <sz val="10"/>
        <color indexed="8"/>
        <rFont val="Arial"/>
        <family val="2"/>
      </rPr>
      <t xml:space="preserve"> </t>
    </r>
  </si>
  <si>
    <r>
      <t>Risk Priority Number (RPN)</t>
    </r>
    <r>
      <rPr>
        <sz val="10"/>
        <color indexed="8"/>
        <rFont val="Arial"/>
        <family val="2"/>
      </rPr>
      <t xml:space="preserve"> </t>
    </r>
  </si>
  <si>
    <t xml:space="preserve">Occurrence Likelihood </t>
  </si>
  <si>
    <r>
      <t>Failure Effects Severity</t>
    </r>
    <r>
      <rPr>
        <sz val="10"/>
        <color indexed="8"/>
        <rFont val="Arial"/>
        <family val="2"/>
      </rPr>
      <t xml:space="preserve"> </t>
    </r>
  </si>
  <si>
    <t xml:space="preserve">Corrective Action  </t>
  </si>
  <si>
    <r>
      <t>Risk Criticality (Corrective Action Priority)</t>
    </r>
    <r>
      <rPr>
        <sz val="10"/>
        <color indexed="8"/>
        <rFont val="Arial"/>
        <family val="2"/>
      </rPr>
      <t xml:space="preserve"> </t>
    </r>
  </si>
  <si>
    <r>
      <t>Risk Priority Number (RPN) (=severity * occurrence)</t>
    </r>
    <r>
      <rPr>
        <sz val="10"/>
        <color indexed="8"/>
        <rFont val="Arial"/>
        <family val="2"/>
      </rPr>
      <t xml:space="preserve"> </t>
    </r>
  </si>
  <si>
    <r>
      <t xml:space="preserve">Occurrence Likelihood </t>
    </r>
    <r>
      <rPr>
        <sz val="10"/>
        <color indexed="8"/>
        <rFont val="Arial"/>
        <family val="2"/>
      </rPr>
      <t xml:space="preserve"> </t>
    </r>
  </si>
  <si>
    <r>
      <t>Possible Cause</t>
    </r>
    <r>
      <rPr>
        <sz val="10"/>
        <color indexed="8"/>
        <rFont val="Arial"/>
        <family val="2"/>
      </rPr>
      <t xml:space="preserve"> </t>
    </r>
  </si>
  <si>
    <t xml:space="preserve">Failure Effects </t>
  </si>
  <si>
    <r>
      <t>Failure Mode</t>
    </r>
    <r>
      <rPr>
        <sz val="10"/>
        <color indexed="8"/>
        <rFont val="Arial"/>
        <family val="2"/>
      </rPr>
      <t xml:space="preserve"> </t>
    </r>
  </si>
  <si>
    <t>Subsystem</t>
  </si>
  <si>
    <r>
      <t>Failure Mode #</t>
    </r>
    <r>
      <rPr>
        <sz val="10"/>
        <color indexed="8"/>
        <rFont val="Arial"/>
        <family val="2"/>
      </rPr>
      <t xml:space="preserve"> </t>
    </r>
  </si>
  <si>
    <t xml:space="preserve">Failure Mode # </t>
  </si>
  <si>
    <t xml:space="preserve">Failure Mode </t>
  </si>
  <si>
    <t>Instructions:</t>
  </si>
  <si>
    <t>FMEA Template</t>
  </si>
  <si>
    <t>3 Hrs. (See Timeline's IR Sensor Risk Plan D)</t>
  </si>
  <si>
    <t>LOW</t>
  </si>
  <si>
    <t>Increase the robustness of the mechanical housing to take stress of cable connections</t>
  </si>
  <si>
    <t>MEDIUM</t>
  </si>
  <si>
    <t>signal cables disconnected</t>
  </si>
  <si>
    <t>power cables disconnected</t>
  </si>
  <si>
    <t>Check encoders to make sure they are securely fastened and properly aligned. Check wiring for frays and proper connections. Replace encoders or connections if need be.</t>
  </si>
  <si>
    <t>12 hrs. (See Timeline's IR Sensor Risk Plan B)</t>
  </si>
  <si>
    <t>Research more robust parts. Put in a redundant encoder and adjust sensor filter system to account for this redundancy.</t>
  </si>
  <si>
    <t>MEDIUM LOW</t>
  </si>
  <si>
    <t>broken detector or emitter</t>
  </si>
  <si>
    <t>No signal provided</t>
  </si>
  <si>
    <t>F.3</t>
  </si>
  <si>
    <t>Check encoders to make sure they are securely fastened and properly aligned. Check encoders for debris and clean if need be. Check encoders to make sure they're still working. Replace encoders if need be.</t>
  </si>
  <si>
    <t>sensor detector or emitter is partially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</si>
</sst>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2"/>
      <color indexed="8"/>
      <name val="Arial"/>
      <family val="2"/>
    </font>
    <font>
      <b/>
      <sz val="18"/>
      <color indexed="8"/>
      <name val="Arial"/>
      <family val="2"/>
    </font>
    <font>
      <b/>
      <sz val="16"/>
      <color indexed="8"/>
      <name val="Arial"/>
      <family val="2"/>
    </font>
    <font>
      <b/>
      <sz val="14"/>
      <color indexed="8"/>
      <name val="Arial"/>
      <family val="2"/>
    </font>
    <font>
      <b/>
      <i/>
      <sz val="14"/>
      <color indexed="8"/>
      <name val="Arial"/>
      <family val="2"/>
    </font>
    <font>
      <sz val="11"/>
      <color rgb="FF5C5C5C"/>
      <name val="Arial"/>
      <family val="2"/>
    </font>
    <font>
      <sz val="10"/>
      <color indexed="8"/>
      <name val="Arial"/>
      <family val="2"/>
    </font>
    <font>
      <sz val="11"/>
      <color theme="1"/>
      <name val="Calibri"/>
      <family val="2"/>
      <scheme val="minor"/>
    </font>
    <font>
      <sz val="10"/>
      <color indexed="8"/>
      <name val="Arial"/>
      <family val="2"/>
    </font>
    <font>
      <sz val="10"/>
      <color indexed="8"/>
      <name val="Arial"/>
      <family val="2"/>
    </font>
    <font>
      <b/>
      <sz val="10"/>
      <color indexed="8"/>
      <name val="Arial"/>
      <family val="2"/>
    </font>
    <font>
      <sz val="14"/>
      <color indexed="8"/>
      <name val="Arial"/>
      <family val="2"/>
    </font>
    <font>
      <b/>
      <sz val="11"/>
      <color indexed="8"/>
      <name val="Arial"/>
      <family val="2"/>
    </font>
    <font>
      <i/>
      <sz val="11"/>
      <color indexed="8"/>
      <name val="Arial"/>
      <family val="2"/>
    </font>
    <font>
      <sz val="12"/>
      <color indexed="8"/>
      <name val="Arial"/>
      <family val="2"/>
    </font>
    <font>
      <sz val="8"/>
      <name val="Verdana"/>
      <family val="2"/>
    </font>
  </fonts>
  <fills count="9">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s>
  <borders count="16">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s>
  <cellStyleXfs count="2">
    <xf numFmtId="0" fontId="0" fillId="0" borderId="0"/>
    <xf numFmtId="0" fontId="8" fillId="0" borderId="0"/>
  </cellStyleXfs>
  <cellXfs count="7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1" fillId="0" borderId="0" xfId="0" applyFont="1" applyAlignment="1">
      <alignment vertical="top" wrapText="1"/>
    </xf>
    <xf numFmtId="0" fontId="6" fillId="0" borderId="0" xfId="0" applyFont="1"/>
    <xf numFmtId="0" fontId="7" fillId="0" borderId="0" xfId="0" applyFont="1" applyAlignment="1">
      <alignment horizontal="right"/>
    </xf>
    <xf numFmtId="0" fontId="9" fillId="0" borderId="0" xfId="1" applyFont="1"/>
    <xf numFmtId="0" fontId="9" fillId="2" borderId="2" xfId="1" applyFont="1" applyFill="1" applyBorder="1"/>
    <xf numFmtId="0" fontId="10" fillId="0" borderId="3" xfId="1" applyFont="1" applyBorder="1" applyAlignment="1">
      <alignment horizontal="left" vertical="top" wrapText="1" readingOrder="1"/>
    </xf>
    <xf numFmtId="0" fontId="9" fillId="0" borderId="2" xfId="1" applyFont="1" applyBorder="1"/>
    <xf numFmtId="0" fontId="9" fillId="0" borderId="3" xfId="1" applyFont="1" applyBorder="1"/>
    <xf numFmtId="0" fontId="10" fillId="0" borderId="4" xfId="1" applyFont="1" applyBorder="1" applyAlignment="1">
      <alignment horizontal="left" vertical="top" wrapText="1" readingOrder="1"/>
    </xf>
    <xf numFmtId="0" fontId="9" fillId="0" borderId="3" xfId="1" applyFont="1" applyBorder="1" applyAlignment="1">
      <alignment horizontal="left" vertical="top"/>
    </xf>
    <xf numFmtId="0" fontId="9" fillId="0" borderId="3" xfId="1" applyFont="1" applyBorder="1" applyAlignment="1">
      <alignment wrapText="1"/>
    </xf>
    <xf numFmtId="0" fontId="10" fillId="0" borderId="5" xfId="1" applyFont="1" applyBorder="1" applyAlignment="1">
      <alignment horizontal="left" vertical="top" wrapText="1" readingOrder="1"/>
    </xf>
    <xf numFmtId="0" fontId="10" fillId="0" borderId="6" xfId="1" applyFont="1" applyBorder="1" applyAlignment="1">
      <alignment horizontal="left" vertical="top" wrapText="1" readingOrder="1"/>
    </xf>
    <xf numFmtId="0" fontId="10" fillId="0" borderId="7" xfId="1" applyFont="1" applyBorder="1" applyAlignment="1">
      <alignment horizontal="left" vertical="top" wrapText="1" readingOrder="1"/>
    </xf>
    <xf numFmtId="0" fontId="9" fillId="0" borderId="3" xfId="1" applyFont="1" applyBorder="1" applyAlignment="1">
      <alignment vertical="top"/>
    </xf>
    <xf numFmtId="0" fontId="9" fillId="0" borderId="1" xfId="1" applyFont="1" applyBorder="1"/>
    <xf numFmtId="0" fontId="9" fillId="0" borderId="8" xfId="1" applyFont="1" applyBorder="1"/>
    <xf numFmtId="0" fontId="10" fillId="2" borderId="10" xfId="1" applyFont="1" applyFill="1" applyBorder="1" applyAlignment="1">
      <alignment horizontal="left" vertical="top" wrapText="1" readingOrder="1"/>
    </xf>
    <xf numFmtId="0" fontId="10" fillId="0" borderId="11" xfId="1" applyFont="1" applyBorder="1" applyAlignment="1">
      <alignment horizontal="left" vertical="top" wrapText="1" readingOrder="1"/>
    </xf>
    <xf numFmtId="0" fontId="10" fillId="2" borderId="11" xfId="1" applyFont="1" applyFill="1" applyBorder="1" applyAlignment="1">
      <alignment horizontal="left" vertical="top" wrapText="1" readingOrder="1"/>
    </xf>
    <xf numFmtId="0" fontId="9" fillId="0" borderId="9" xfId="1" applyFont="1" applyBorder="1" applyAlignment="1">
      <alignment vertical="top"/>
    </xf>
    <xf numFmtId="0" fontId="10" fillId="0" borderId="8" xfId="1" applyFont="1" applyBorder="1" applyAlignment="1">
      <alignment vertical="top" wrapText="1" readingOrder="1"/>
    </xf>
    <xf numFmtId="0" fontId="11" fillId="0" borderId="8" xfId="1" applyFont="1" applyBorder="1" applyAlignment="1">
      <alignment vertical="top" wrapText="1" readingOrder="1"/>
    </xf>
    <xf numFmtId="0" fontId="10" fillId="0" borderId="9" xfId="1" applyFont="1" applyBorder="1" applyAlignment="1">
      <alignment horizontal="left" vertical="top" wrapText="1" readingOrder="1"/>
    </xf>
    <xf numFmtId="0" fontId="10" fillId="2" borderId="6" xfId="1" applyFont="1" applyFill="1" applyBorder="1" applyAlignment="1">
      <alignment horizontal="left" vertical="top" wrapText="1" readingOrder="1"/>
    </xf>
    <xf numFmtId="0" fontId="10" fillId="0" borderId="12" xfId="1" applyFont="1" applyBorder="1" applyAlignment="1">
      <alignment horizontal="left" vertical="top" wrapText="1" readingOrder="1"/>
    </xf>
    <xf numFmtId="0" fontId="10" fillId="0" borderId="2" xfId="1" applyFont="1" applyBorder="1" applyAlignment="1">
      <alignment vertical="top" wrapText="1" readingOrder="1"/>
    </xf>
    <xf numFmtId="0" fontId="10" fillId="0" borderId="1" xfId="1" applyFont="1" applyBorder="1" applyAlignment="1">
      <alignment horizontal="left" vertical="top" wrapText="1" readingOrder="1"/>
    </xf>
    <xf numFmtId="0" fontId="10" fillId="2" borderId="5" xfId="1" applyFont="1" applyFill="1" applyBorder="1" applyAlignment="1">
      <alignment horizontal="left" vertical="top" wrapText="1" readingOrder="1"/>
    </xf>
    <xf numFmtId="0" fontId="10" fillId="0" borderId="1" xfId="1" applyFont="1" applyBorder="1" applyAlignment="1">
      <alignment vertical="top" wrapText="1" readingOrder="1"/>
    </xf>
    <xf numFmtId="0" fontId="10" fillId="0" borderId="8" xfId="1" applyFont="1" applyBorder="1" applyAlignment="1">
      <alignment horizontal="left" vertical="top" wrapText="1" readingOrder="1"/>
    </xf>
    <xf numFmtId="0" fontId="10" fillId="0" borderId="13" xfId="1" applyFont="1" applyBorder="1" applyAlignment="1">
      <alignment horizontal="left" vertical="top" wrapText="1" readingOrder="1"/>
    </xf>
    <xf numFmtId="0" fontId="10" fillId="0" borderId="9" xfId="1" applyFont="1" applyBorder="1" applyAlignment="1">
      <alignment vertical="top" wrapText="1" readingOrder="1"/>
    </xf>
    <xf numFmtId="0" fontId="11" fillId="0" borderId="9" xfId="1" applyFont="1" applyBorder="1" applyAlignment="1">
      <alignment vertical="top" wrapText="1" readingOrder="1"/>
    </xf>
    <xf numFmtId="0" fontId="0" fillId="3" borderId="0" xfId="0" applyFill="1"/>
    <xf numFmtId="0" fontId="11" fillId="2" borderId="11" xfId="1" applyFont="1" applyFill="1" applyBorder="1" applyAlignment="1">
      <alignment horizontal="left" vertical="top" wrapText="1" readingOrder="1"/>
    </xf>
    <xf numFmtId="0" fontId="11" fillId="2" borderId="11" xfId="1" applyFont="1" applyFill="1" applyBorder="1" applyAlignment="1">
      <alignment horizontal="left" vertical="top" wrapText="1"/>
    </xf>
    <xf numFmtId="0" fontId="12" fillId="0" borderId="0" xfId="0" applyFont="1" applyAlignment="1">
      <alignment vertical="top" wrapText="1"/>
    </xf>
    <xf numFmtId="0" fontId="11" fillId="2" borderId="14" xfId="1" applyFont="1" applyFill="1" applyBorder="1" applyAlignment="1">
      <alignment horizontal="left" vertical="top" wrapText="1" readingOrder="1"/>
    </xf>
    <xf numFmtId="0" fontId="11" fillId="2" borderId="15" xfId="1" applyFont="1" applyFill="1" applyBorder="1" applyAlignment="1">
      <alignment horizontal="left" vertical="top" wrapText="1"/>
    </xf>
    <xf numFmtId="0" fontId="11" fillId="2" borderId="12" xfId="1" applyFont="1" applyFill="1" applyBorder="1" applyAlignment="1">
      <alignment horizontal="left" vertical="top" wrapText="1"/>
    </xf>
    <xf numFmtId="0" fontId="0" fillId="0" borderId="0" xfId="0" applyAlignment="1">
      <alignment wrapText="1"/>
    </xf>
    <xf numFmtId="0" fontId="13" fillId="0" borderId="0" xfId="0" applyFont="1" applyAlignment="1">
      <alignment horizontal="right"/>
    </xf>
    <xf numFmtId="0" fontId="14" fillId="0" borderId="0" xfId="0" applyFont="1"/>
    <xf numFmtId="0" fontId="15" fillId="0" borderId="0" xfId="0" applyFont="1"/>
    <xf numFmtId="0" fontId="13" fillId="0" borderId="0" xfId="0" applyFont="1"/>
    <xf numFmtId="0" fontId="15" fillId="4" borderId="0" xfId="0" applyFont="1" applyFill="1" applyAlignment="1">
      <alignment horizontal="center"/>
    </xf>
    <xf numFmtId="0" fontId="15" fillId="5" borderId="0" xfId="0" applyFont="1" applyFill="1" applyAlignment="1">
      <alignment horizontal="center"/>
    </xf>
    <xf numFmtId="0" fontId="15" fillId="6" borderId="0" xfId="0" applyFont="1" applyFill="1" applyAlignment="1">
      <alignment horizontal="center"/>
    </xf>
    <xf numFmtId="0" fontId="15" fillId="7" borderId="0" xfId="0" applyFont="1" applyFill="1" applyAlignment="1">
      <alignment horizontal="center"/>
    </xf>
    <xf numFmtId="0" fontId="15" fillId="8" borderId="0" xfId="0" applyFont="1" applyFill="1" applyAlignment="1">
      <alignment horizontal="center"/>
    </xf>
    <xf numFmtId="0" fontId="13" fillId="8" borderId="0" xfId="0" applyFont="1" applyFill="1" applyAlignment="1">
      <alignment horizontal="center"/>
    </xf>
    <xf numFmtId="0" fontId="13" fillId="7" borderId="0" xfId="0" applyFont="1" applyFill="1" applyAlignment="1">
      <alignment horizontal="center"/>
    </xf>
    <xf numFmtId="0" fontId="13" fillId="0" borderId="0" xfId="0" applyFont="1" applyAlignment="1">
      <alignment horizontal="center"/>
    </xf>
    <xf numFmtId="0" fontId="13" fillId="4" borderId="0" xfId="0" applyFont="1" applyFill="1" applyAlignment="1">
      <alignment horizontal="center"/>
    </xf>
    <xf numFmtId="0" fontId="13" fillId="5" borderId="0" xfId="0" applyFont="1" applyFill="1" applyAlignment="1">
      <alignment horizontal="center"/>
    </xf>
    <xf numFmtId="0" fontId="13" fillId="6" borderId="0" xfId="0" applyFont="1" applyFill="1" applyAlignment="1">
      <alignment horizontal="center"/>
    </xf>
    <xf numFmtId="0" fontId="15" fillId="6" borderId="0" xfId="0" quotePrefix="1" applyFont="1" applyFill="1" applyAlignment="1">
      <alignment horizontal="center"/>
    </xf>
    <xf numFmtId="0" fontId="15" fillId="5" borderId="0" xfId="0" quotePrefix="1" applyFont="1" applyFill="1" applyAlignment="1">
      <alignment horizontal="center"/>
    </xf>
    <xf numFmtId="0" fontId="15" fillId="4" borderId="0" xfId="0" quotePrefix="1" applyFont="1" applyFill="1" applyAlignment="1">
      <alignment horizontal="center"/>
    </xf>
    <xf numFmtId="0" fontId="15" fillId="7" borderId="0" xfId="0" quotePrefix="1" applyFont="1" applyFill="1" applyAlignment="1">
      <alignment horizontal="center"/>
    </xf>
    <xf numFmtId="0" fontId="15" fillId="8" borderId="0" xfId="0" quotePrefix="1" applyFont="1" applyFill="1" applyAlignment="1">
      <alignment horizontal="center"/>
    </xf>
    <xf numFmtId="0" fontId="15" fillId="0" borderId="0" xfId="0" applyFont="1" applyAlignment="1">
      <alignment wrapText="1"/>
    </xf>
    <xf numFmtId="0" fontId="9" fillId="0" borderId="9" xfId="1" applyFont="1" applyBorder="1" applyAlignment="1">
      <alignment horizontal="left" vertical="top" wrapText="1"/>
    </xf>
    <xf numFmtId="0" fontId="9" fillId="0" borderId="8" xfId="1" applyFont="1" applyBorder="1" applyAlignment="1">
      <alignment horizontal="left" vertical="top" wrapText="1"/>
    </xf>
    <xf numFmtId="0" fontId="9" fillId="0" borderId="1" xfId="1" applyFont="1" applyBorder="1" applyAlignment="1">
      <alignment horizontal="left" vertical="top" wrapText="1"/>
    </xf>
    <xf numFmtId="0" fontId="10" fillId="0" borderId="9" xfId="1" applyFont="1" applyBorder="1" applyAlignment="1">
      <alignment horizontal="left" vertical="top" wrapText="1" readingOrder="1"/>
    </xf>
    <xf numFmtId="0" fontId="10" fillId="0" borderId="8" xfId="1" applyFont="1" applyBorder="1" applyAlignment="1">
      <alignment horizontal="left" vertical="top" wrapText="1" readingOrder="1"/>
    </xf>
    <xf numFmtId="0" fontId="10" fillId="0" borderId="1" xfId="1" applyFont="1" applyBorder="1" applyAlignment="1">
      <alignment horizontal="left" vertical="top" wrapText="1" readingOrder="1"/>
    </xf>
  </cellXfs>
  <cellStyles count="2">
    <cellStyle name="Normal" xfId="0" builtinId="0"/>
    <cellStyle name="Normal 2" xfId="1" xr:uid="{00000000-0005-0000-0000-000001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4"/>
  <sheetViews>
    <sheetView showGridLines="0" workbookViewId="0">
      <selection activeCell="B12" sqref="B12"/>
    </sheetView>
  </sheetViews>
  <sheetFormatPr baseColWidth="10" defaultRowHeight="16" x14ac:dyDescent="0.2"/>
  <cols>
    <col min="1" max="1" width="10.83203125" style="1"/>
    <col min="2" max="2" width="143.83203125" style="1" customWidth="1"/>
    <col min="3" max="16384" width="10.83203125" style="1"/>
  </cols>
  <sheetData>
    <row r="3" spans="2:2" x14ac:dyDescent="0.2">
      <c r="B3" s="8"/>
    </row>
    <row r="4" spans="2:2" ht="16" customHeight="1" x14ac:dyDescent="0.2">
      <c r="B4" s="8"/>
    </row>
    <row r="5" spans="2:2" ht="51" customHeight="1" x14ac:dyDescent="0.25">
      <c r="B5" s="2" t="s">
        <v>72</v>
      </c>
    </row>
    <row r="6" spans="2:2" ht="20" x14ac:dyDescent="0.2">
      <c r="B6" s="3"/>
    </row>
    <row r="8" spans="2:2" ht="18" x14ac:dyDescent="0.2">
      <c r="B8" s="4" t="s">
        <v>71</v>
      </c>
    </row>
    <row r="9" spans="2:2" ht="125" customHeight="1" x14ac:dyDescent="0.2">
      <c r="B9" s="43" t="s">
        <v>11</v>
      </c>
    </row>
    <row r="10" spans="2:2" ht="29" customHeight="1" x14ac:dyDescent="0.2">
      <c r="B10" s="5"/>
    </row>
    <row r="11" spans="2:2" ht="23" customHeight="1" x14ac:dyDescent="0.2">
      <c r="B11" s="6"/>
    </row>
    <row r="12" spans="2:2" ht="24" customHeight="1" x14ac:dyDescent="0.2">
      <c r="B12" s="6"/>
    </row>
    <row r="14" spans="2:2" x14ac:dyDescent="0.2">
      <c r="B14" s="7"/>
    </row>
  </sheetData>
  <phoneticPr fontId="16" type="noConversion"/>
  <pageMargins left="0.75" right="0.75"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
  <sheetViews>
    <sheetView workbookViewId="0">
      <selection activeCell="H14" sqref="H14"/>
    </sheetView>
  </sheetViews>
  <sheetFormatPr baseColWidth="10" defaultRowHeight="16" x14ac:dyDescent="0.2"/>
  <cols>
    <col min="1" max="1" width="7.83203125" customWidth="1"/>
    <col min="2" max="2" width="16" customWidth="1"/>
    <col min="3" max="3" width="22.6640625" customWidth="1"/>
    <col min="4" max="4" width="25.5" customWidth="1"/>
    <col min="5" max="5" width="18.33203125" customWidth="1"/>
    <col min="6" max="6" width="7.6640625" customWidth="1"/>
    <col min="8" max="8" width="11.1640625" customWidth="1"/>
    <col min="10" max="10" width="1.6640625" style="40" customWidth="1"/>
    <col min="11" max="11" width="33.1640625" customWidth="1"/>
    <col min="12" max="12" width="9" customWidth="1"/>
    <col min="13" max="13" width="10.6640625" customWidth="1"/>
    <col min="14" max="14" width="7.33203125" customWidth="1"/>
    <col min="15" max="15" width="10.33203125" customWidth="1"/>
    <col min="16" max="16" width="18.5" customWidth="1"/>
    <col min="17" max="17" width="1.33203125" style="40" customWidth="1"/>
    <col min="18" max="18" width="38.5" customWidth="1"/>
    <col min="19" max="19" width="8.33203125" customWidth="1"/>
    <col min="23" max="23" width="23.5" customWidth="1"/>
    <col min="24" max="24" width="1.5" style="40" customWidth="1"/>
    <col min="25" max="25" width="28.5" customWidth="1"/>
  </cols>
  <sheetData>
    <row r="1" spans="1:25" ht="85" thickBot="1" x14ac:dyDescent="0.25">
      <c r="A1" s="44" t="s">
        <v>69</v>
      </c>
      <c r="B1" s="45" t="s">
        <v>67</v>
      </c>
      <c r="C1" s="45" t="s">
        <v>70</v>
      </c>
      <c r="D1" s="45" t="s">
        <v>65</v>
      </c>
      <c r="E1" s="45" t="s">
        <v>12</v>
      </c>
      <c r="F1" s="45" t="s">
        <v>13</v>
      </c>
      <c r="G1" s="45" t="s">
        <v>14</v>
      </c>
      <c r="H1" s="45" t="s">
        <v>0</v>
      </c>
      <c r="I1" s="45" t="s">
        <v>1</v>
      </c>
      <c r="J1" s="45"/>
      <c r="K1" s="45" t="s">
        <v>60</v>
      </c>
      <c r="L1" s="45" t="s">
        <v>13</v>
      </c>
      <c r="M1" s="45" t="s">
        <v>58</v>
      </c>
      <c r="N1" s="45" t="s">
        <v>2</v>
      </c>
      <c r="O1" s="45" t="s">
        <v>17</v>
      </c>
      <c r="P1" s="45" t="s">
        <v>55</v>
      </c>
      <c r="Q1" s="45"/>
      <c r="R1" s="45" t="s">
        <v>60</v>
      </c>
      <c r="S1" s="45" t="s">
        <v>13</v>
      </c>
      <c r="T1" s="45" t="s">
        <v>58</v>
      </c>
      <c r="U1" s="45" t="s">
        <v>2</v>
      </c>
      <c r="V1" s="45" t="s">
        <v>17</v>
      </c>
      <c r="W1" s="45" t="s">
        <v>55</v>
      </c>
      <c r="X1" s="45"/>
      <c r="Y1" s="46" t="s">
        <v>54</v>
      </c>
    </row>
    <row r="2" spans="1:25" x14ac:dyDescent="0.2">
      <c r="B2" s="47"/>
      <c r="C2" s="47"/>
      <c r="D2" s="47"/>
    </row>
    <row r="3" spans="1:25" x14ac:dyDescent="0.2">
      <c r="B3" s="47"/>
      <c r="C3" s="47"/>
      <c r="D3" s="47"/>
    </row>
    <row r="4" spans="1:25" x14ac:dyDescent="0.2">
      <c r="B4" s="47"/>
      <c r="C4" s="47"/>
      <c r="D4" s="47"/>
    </row>
    <row r="5" spans="1:25" x14ac:dyDescent="0.2">
      <c r="B5" s="47"/>
      <c r="C5" s="47"/>
      <c r="D5" s="47"/>
    </row>
    <row r="6" spans="1:25" x14ac:dyDescent="0.2">
      <c r="B6" s="47"/>
      <c r="C6" s="47"/>
      <c r="D6" s="47"/>
    </row>
    <row r="7" spans="1:25" x14ac:dyDescent="0.2">
      <c r="B7" s="47"/>
      <c r="C7" s="47"/>
      <c r="D7" s="47"/>
    </row>
  </sheetData>
  <phoneticPr fontId="16" type="noConversion"/>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6"/>
  <sheetViews>
    <sheetView zoomScale="129" zoomScaleNormal="129" zoomScalePageLayoutView="129" workbookViewId="0">
      <selection activeCell="A2" sqref="A2:I8"/>
    </sheetView>
  </sheetViews>
  <sheetFormatPr baseColWidth="10" defaultColWidth="8.83203125" defaultRowHeight="13" x14ac:dyDescent="0.15"/>
  <cols>
    <col min="1" max="1" width="7.6640625" style="9" customWidth="1"/>
    <col min="2" max="2" width="23.33203125" style="9" customWidth="1"/>
    <col min="3" max="3" width="21.5" style="9" customWidth="1"/>
    <col min="4" max="4" width="32.1640625" style="9" customWidth="1"/>
    <col min="5" max="5" width="24.5" style="9" customWidth="1"/>
    <col min="6" max="6" width="8.1640625" style="9" bestFit="1" customWidth="1"/>
    <col min="7" max="7" width="11.6640625" style="9" bestFit="1" customWidth="1"/>
    <col min="8" max="8" width="12.5" style="9" customWidth="1"/>
    <col min="9" max="9" width="11.33203125" style="9" bestFit="1" customWidth="1"/>
    <col min="10" max="10" width="1.33203125" style="9" customWidth="1"/>
    <col min="11" max="11" width="51.6640625" style="9" customWidth="1"/>
    <col min="12" max="12" width="9.5" style="9" bestFit="1" customWidth="1"/>
    <col min="13" max="13" width="11.6640625" style="9" bestFit="1" customWidth="1"/>
    <col min="14" max="14" width="13.6640625" style="9" bestFit="1" customWidth="1"/>
    <col min="15" max="15" width="11.33203125" style="9" bestFit="1" customWidth="1"/>
    <col min="16" max="16" width="20.33203125" style="9" customWidth="1"/>
    <col min="17" max="17" width="1.33203125" style="9" customWidth="1"/>
    <col min="18" max="18" width="43.33203125" style="9" bestFit="1" customWidth="1"/>
    <col min="19" max="19" width="9.5" style="9" bestFit="1" customWidth="1"/>
    <col min="20" max="20" width="11.6640625" style="9" bestFit="1" customWidth="1"/>
    <col min="21" max="21" width="13.6640625" style="9" bestFit="1" customWidth="1"/>
    <col min="22" max="22" width="11.33203125" style="9" bestFit="1" customWidth="1"/>
    <col min="23" max="23" width="20.5" style="9" customWidth="1"/>
    <col min="24" max="24" width="1.33203125" style="9" customWidth="1"/>
    <col min="25" max="25" width="43.33203125" style="9" bestFit="1" customWidth="1"/>
    <col min="26" max="16384" width="8.83203125" style="9"/>
  </cols>
  <sheetData>
    <row r="1" spans="1:25" ht="69" customHeight="1" thickBot="1" x14ac:dyDescent="0.2">
      <c r="A1" s="41" t="s">
        <v>68</v>
      </c>
      <c r="B1" s="42" t="s">
        <v>67</v>
      </c>
      <c r="C1" s="42" t="s">
        <v>66</v>
      </c>
      <c r="D1" s="42" t="s">
        <v>65</v>
      </c>
      <c r="E1" s="42" t="s">
        <v>64</v>
      </c>
      <c r="F1" s="42" t="s">
        <v>59</v>
      </c>
      <c r="G1" s="42" t="s">
        <v>63</v>
      </c>
      <c r="H1" s="42" t="s">
        <v>62</v>
      </c>
      <c r="I1" s="42" t="s">
        <v>61</v>
      </c>
      <c r="J1" s="42"/>
      <c r="K1" s="42" t="s">
        <v>60</v>
      </c>
      <c r="L1" s="42" t="s">
        <v>59</v>
      </c>
      <c r="M1" s="42" t="s">
        <v>58</v>
      </c>
      <c r="N1" s="42" t="s">
        <v>57</v>
      </c>
      <c r="O1" s="42" t="s">
        <v>56</v>
      </c>
      <c r="P1" s="42" t="s">
        <v>55</v>
      </c>
      <c r="Q1" s="42"/>
      <c r="R1" s="42" t="s">
        <v>60</v>
      </c>
      <c r="S1" s="42" t="s">
        <v>59</v>
      </c>
      <c r="T1" s="42" t="s">
        <v>58</v>
      </c>
      <c r="U1" s="42" t="s">
        <v>57</v>
      </c>
      <c r="V1" s="42" t="s">
        <v>56</v>
      </c>
      <c r="W1" s="42" t="s">
        <v>55</v>
      </c>
      <c r="X1" s="42"/>
      <c r="Y1" s="42" t="s">
        <v>54</v>
      </c>
    </row>
    <row r="2" spans="1:25" ht="85" thickBot="1" x14ac:dyDescent="0.2">
      <c r="A2" s="39" t="s">
        <v>53</v>
      </c>
      <c r="B2" s="38" t="s">
        <v>52</v>
      </c>
      <c r="C2" s="38" t="s">
        <v>51</v>
      </c>
      <c r="D2" s="29" t="s">
        <v>4</v>
      </c>
      <c r="E2" s="37" t="s">
        <v>49</v>
      </c>
      <c r="F2" s="18">
        <v>4</v>
      </c>
      <c r="G2" s="18">
        <v>5</v>
      </c>
      <c r="H2" s="18">
        <v>20</v>
      </c>
      <c r="I2" s="18" t="s">
        <v>48</v>
      </c>
      <c r="J2" s="30"/>
      <c r="K2" s="18" t="s">
        <v>5</v>
      </c>
      <c r="L2" s="18">
        <v>4</v>
      </c>
      <c r="M2" s="18">
        <v>2</v>
      </c>
      <c r="N2" s="18">
        <v>8</v>
      </c>
      <c r="O2" s="18" t="s">
        <v>76</v>
      </c>
      <c r="P2" s="18" t="s">
        <v>47</v>
      </c>
      <c r="Q2" s="30"/>
      <c r="R2" s="18" t="s">
        <v>46</v>
      </c>
      <c r="S2" s="18">
        <v>4</v>
      </c>
      <c r="T2" s="18">
        <v>1</v>
      </c>
      <c r="U2" s="18">
        <v>4</v>
      </c>
      <c r="V2" s="18" t="s">
        <v>82</v>
      </c>
      <c r="W2" s="18" t="s">
        <v>45</v>
      </c>
      <c r="X2" s="34"/>
      <c r="Y2" s="29" t="s">
        <v>86</v>
      </c>
    </row>
    <row r="3" spans="1:25" ht="43" thickBot="1" x14ac:dyDescent="0.2">
      <c r="A3" s="28"/>
      <c r="B3" s="27"/>
      <c r="C3" s="27"/>
      <c r="D3" s="36"/>
      <c r="E3" s="11" t="s">
        <v>44</v>
      </c>
      <c r="F3" s="19">
        <v>4</v>
      </c>
      <c r="G3" s="18">
        <v>2</v>
      </c>
      <c r="H3" s="18">
        <v>8</v>
      </c>
      <c r="I3" s="18" t="s">
        <v>76</v>
      </c>
      <c r="J3" s="30"/>
      <c r="K3" s="18" t="s">
        <v>43</v>
      </c>
      <c r="L3" s="18">
        <v>4</v>
      </c>
      <c r="M3" s="18">
        <v>1</v>
      </c>
      <c r="N3" s="18">
        <v>4</v>
      </c>
      <c r="O3" s="18" t="s">
        <v>82</v>
      </c>
      <c r="P3" s="18" t="s">
        <v>80</v>
      </c>
      <c r="Q3" s="30"/>
      <c r="R3" s="18"/>
      <c r="S3" s="18"/>
      <c r="T3" s="18"/>
      <c r="U3" s="18"/>
      <c r="V3" s="18"/>
      <c r="W3" s="18"/>
      <c r="X3" s="34"/>
      <c r="Y3" s="36"/>
    </row>
    <row r="4" spans="1:25" ht="62" customHeight="1" thickBot="1" x14ac:dyDescent="0.2">
      <c r="A4" s="28"/>
      <c r="B4" s="27"/>
      <c r="C4" s="35"/>
      <c r="D4" s="33"/>
      <c r="E4" s="11" t="s">
        <v>42</v>
      </c>
      <c r="F4" s="19">
        <v>4</v>
      </c>
      <c r="G4" s="18">
        <v>4</v>
      </c>
      <c r="H4" s="18">
        <v>16</v>
      </c>
      <c r="I4" s="18" t="s">
        <v>41</v>
      </c>
      <c r="J4" s="30"/>
      <c r="K4" s="18" t="s">
        <v>6</v>
      </c>
      <c r="L4" s="18">
        <v>4</v>
      </c>
      <c r="M4" s="18">
        <v>1</v>
      </c>
      <c r="N4" s="18">
        <v>4</v>
      </c>
      <c r="O4" s="18" t="s">
        <v>82</v>
      </c>
      <c r="P4" s="18" t="s">
        <v>50</v>
      </c>
      <c r="Q4" s="30"/>
      <c r="R4" s="18"/>
      <c r="S4" s="18"/>
      <c r="T4" s="18"/>
      <c r="U4" s="18"/>
      <c r="V4" s="18"/>
      <c r="W4" s="18"/>
      <c r="X4" s="34"/>
      <c r="Y4" s="33"/>
    </row>
    <row r="5" spans="1:25" ht="71" thickBot="1" x14ac:dyDescent="0.2">
      <c r="A5" s="28" t="s">
        <v>16</v>
      </c>
      <c r="B5" s="27"/>
      <c r="C5" s="32" t="s">
        <v>15</v>
      </c>
      <c r="D5" s="31" t="s">
        <v>8</v>
      </c>
      <c r="E5" s="29" t="s">
        <v>87</v>
      </c>
      <c r="F5" s="19">
        <v>2</v>
      </c>
      <c r="G5" s="18">
        <v>1</v>
      </c>
      <c r="H5" s="18">
        <v>2</v>
      </c>
      <c r="I5" s="18" t="s">
        <v>74</v>
      </c>
      <c r="J5" s="30"/>
      <c r="K5" s="18"/>
      <c r="L5" s="18"/>
      <c r="M5" s="18"/>
      <c r="N5" s="18"/>
      <c r="O5" s="18"/>
      <c r="P5" s="18"/>
      <c r="Q5" s="30"/>
      <c r="R5" s="18"/>
      <c r="S5" s="18"/>
      <c r="T5" s="18"/>
      <c r="U5" s="18"/>
      <c r="V5" s="18"/>
      <c r="W5" s="18"/>
      <c r="X5" s="30"/>
      <c r="Y5" s="29" t="s">
        <v>86</v>
      </c>
    </row>
    <row r="6" spans="1:25" ht="41.5" customHeight="1" thickBot="1" x14ac:dyDescent="0.2">
      <c r="A6" s="28" t="s">
        <v>85</v>
      </c>
      <c r="B6" s="27"/>
      <c r="C6" s="26" t="s">
        <v>84</v>
      </c>
      <c r="D6" s="69" t="s">
        <v>9</v>
      </c>
      <c r="E6" s="20" t="s">
        <v>83</v>
      </c>
      <c r="F6" s="19">
        <v>2</v>
      </c>
      <c r="G6" s="18">
        <v>2</v>
      </c>
      <c r="H6" s="18">
        <v>4</v>
      </c>
      <c r="I6" s="18" t="s">
        <v>82</v>
      </c>
      <c r="J6" s="25"/>
      <c r="K6" s="24" t="s">
        <v>81</v>
      </c>
      <c r="L6" s="24">
        <v>2</v>
      </c>
      <c r="M6" s="24">
        <v>1</v>
      </c>
      <c r="N6" s="24">
        <v>2</v>
      </c>
      <c r="O6" s="18" t="s">
        <v>74</v>
      </c>
      <c r="P6" s="18" t="s">
        <v>80</v>
      </c>
      <c r="Q6" s="25"/>
      <c r="R6" s="24"/>
      <c r="S6" s="24"/>
      <c r="T6" s="24"/>
      <c r="U6" s="24"/>
      <c r="V6" s="24"/>
      <c r="W6" s="24"/>
      <c r="X6" s="23"/>
      <c r="Y6" s="72" t="s">
        <v>79</v>
      </c>
    </row>
    <row r="7" spans="1:25" ht="28.25" customHeight="1" thickBot="1" x14ac:dyDescent="0.2">
      <c r="A7" s="22"/>
      <c r="B7" s="22"/>
      <c r="C7" s="22"/>
      <c r="D7" s="70"/>
      <c r="E7" s="20" t="s">
        <v>78</v>
      </c>
      <c r="F7" s="19">
        <v>2</v>
      </c>
      <c r="G7" s="18">
        <v>4</v>
      </c>
      <c r="H7" s="18">
        <v>8</v>
      </c>
      <c r="I7" s="17" t="s">
        <v>76</v>
      </c>
      <c r="J7" s="10"/>
      <c r="K7" s="16" t="s">
        <v>7</v>
      </c>
      <c r="L7" s="15">
        <v>2</v>
      </c>
      <c r="M7" s="15">
        <v>1</v>
      </c>
      <c r="N7" s="15">
        <v>2</v>
      </c>
      <c r="O7" s="14" t="s">
        <v>74</v>
      </c>
      <c r="P7" s="11" t="s">
        <v>73</v>
      </c>
      <c r="Q7" s="10"/>
      <c r="R7" s="13"/>
      <c r="S7" s="13"/>
      <c r="T7" s="13"/>
      <c r="U7" s="13"/>
      <c r="V7" s="12"/>
      <c r="W7" s="11"/>
      <c r="X7" s="10"/>
      <c r="Y7" s="73"/>
    </row>
    <row r="8" spans="1:25" ht="27.5" customHeight="1" thickBot="1" x14ac:dyDescent="0.2">
      <c r="A8" s="21"/>
      <c r="B8" s="21"/>
      <c r="C8" s="21"/>
      <c r="D8" s="71"/>
      <c r="E8" s="20" t="s">
        <v>77</v>
      </c>
      <c r="F8" s="19">
        <v>2</v>
      </c>
      <c r="G8" s="18">
        <v>5</v>
      </c>
      <c r="H8" s="18">
        <v>10</v>
      </c>
      <c r="I8" s="17" t="s">
        <v>76</v>
      </c>
      <c r="J8" s="10"/>
      <c r="K8" s="16" t="s">
        <v>75</v>
      </c>
      <c r="L8" s="15">
        <v>2</v>
      </c>
      <c r="M8" s="15">
        <v>1</v>
      </c>
      <c r="N8" s="15">
        <v>2</v>
      </c>
      <c r="O8" s="14" t="s">
        <v>74</v>
      </c>
      <c r="P8" s="11" t="s">
        <v>73</v>
      </c>
      <c r="Q8" s="10"/>
      <c r="R8" s="13"/>
      <c r="S8" s="13"/>
      <c r="T8" s="13"/>
      <c r="U8" s="13"/>
      <c r="V8" s="12"/>
      <c r="W8" s="11"/>
      <c r="X8" s="10"/>
      <c r="Y8" s="74"/>
    </row>
    <row r="10" spans="1:25" ht="16" x14ac:dyDescent="0.2">
      <c r="E10" s="48" t="s">
        <v>25</v>
      </c>
      <c r="F10" s="49" t="s">
        <v>40</v>
      </c>
      <c r="G10" s="50"/>
      <c r="H10" s="50"/>
      <c r="I10" s="50"/>
      <c r="J10" s="50"/>
      <c r="K10" s="48" t="s">
        <v>25</v>
      </c>
      <c r="L10" s="49" t="s">
        <v>40</v>
      </c>
      <c r="M10" s="50"/>
      <c r="N10" s="50"/>
      <c r="O10" s="50"/>
      <c r="P10" s="50"/>
      <c r="R10" s="48" t="s">
        <v>25</v>
      </c>
      <c r="S10" s="49" t="s">
        <v>40</v>
      </c>
      <c r="T10" s="50"/>
      <c r="U10" s="50"/>
      <c r="V10" s="50"/>
      <c r="W10" s="50"/>
    </row>
    <row r="11" spans="1:25" ht="16" x14ac:dyDescent="0.2">
      <c r="E11" s="51">
        <v>5</v>
      </c>
      <c r="F11" s="52">
        <f>$A11*F$23</f>
        <v>0</v>
      </c>
      <c r="G11" s="61">
        <v>1</v>
      </c>
      <c r="H11" s="54">
        <f>$A11*H$23</f>
        <v>0</v>
      </c>
      <c r="I11" s="62">
        <v>1</v>
      </c>
      <c r="J11" s="50"/>
      <c r="K11" s="51">
        <v>5</v>
      </c>
      <c r="L11" s="52">
        <f>$A11*L$23</f>
        <v>0</v>
      </c>
      <c r="M11" s="53">
        <v>0</v>
      </c>
      <c r="N11" s="54">
        <f>$A11*N$23</f>
        <v>0</v>
      </c>
      <c r="O11" s="54">
        <v>0</v>
      </c>
      <c r="P11" s="50"/>
      <c r="R11" s="51">
        <v>5</v>
      </c>
      <c r="S11" s="52">
        <f>$A11*S$23</f>
        <v>0</v>
      </c>
      <c r="T11" s="53">
        <v>0</v>
      </c>
      <c r="U11" s="54">
        <f>$A11*U$23</f>
        <v>0</v>
      </c>
      <c r="V11" s="54">
        <v>0</v>
      </c>
      <c r="W11" s="50"/>
    </row>
    <row r="12" spans="1:25" ht="16" x14ac:dyDescent="0.2">
      <c r="E12" s="51">
        <v>4</v>
      </c>
      <c r="F12" s="55">
        <f>$A12*F$23</f>
        <v>0</v>
      </c>
      <c r="G12" s="60">
        <v>1</v>
      </c>
      <c r="H12" s="53">
        <f>$A12*H$23</f>
        <v>0</v>
      </c>
      <c r="I12" s="62">
        <v>1</v>
      </c>
      <c r="J12" s="50"/>
      <c r="K12" s="51">
        <v>4</v>
      </c>
      <c r="L12" s="55">
        <f>$A12*L$23</f>
        <v>0</v>
      </c>
      <c r="M12" s="52">
        <v>0</v>
      </c>
      <c r="N12" s="53">
        <f>$A12*N$23</f>
        <v>0</v>
      </c>
      <c r="O12" s="54">
        <v>0</v>
      </c>
      <c r="P12" s="50"/>
      <c r="R12" s="51">
        <v>4</v>
      </c>
      <c r="S12" s="55">
        <f>$A12*S$23</f>
        <v>0</v>
      </c>
      <c r="T12" s="52">
        <v>0</v>
      </c>
      <c r="U12" s="53">
        <f>$A12*U$23</f>
        <v>0</v>
      </c>
      <c r="V12" s="54">
        <v>0</v>
      </c>
      <c r="W12" s="50"/>
    </row>
    <row r="13" spans="1:25" ht="16" x14ac:dyDescent="0.2">
      <c r="E13" s="51">
        <v>3</v>
      </c>
      <c r="F13" s="55">
        <f>$A13*F$23</f>
        <v>0</v>
      </c>
      <c r="G13" s="52">
        <f>$A13*G$23</f>
        <v>0</v>
      </c>
      <c r="H13" s="53">
        <f>$A13*H$23</f>
        <v>0</v>
      </c>
      <c r="I13" s="53">
        <f>$A13*I$23</f>
        <v>0</v>
      </c>
      <c r="J13" s="50"/>
      <c r="K13" s="51">
        <v>3</v>
      </c>
      <c r="L13" s="55">
        <f>$A13*L$23</f>
        <v>0</v>
      </c>
      <c r="M13" s="52">
        <f>$A13*M$23</f>
        <v>0</v>
      </c>
      <c r="N13" s="53">
        <f>$A13*N$23</f>
        <v>0</v>
      </c>
      <c r="O13" s="53">
        <f>$A13*O$23</f>
        <v>0</v>
      </c>
      <c r="P13" s="50"/>
      <c r="R13" s="51">
        <v>3</v>
      </c>
      <c r="S13" s="55">
        <f>$A13*S$23</f>
        <v>0</v>
      </c>
      <c r="T13" s="52">
        <f>$A13*T$23</f>
        <v>0</v>
      </c>
      <c r="U13" s="53">
        <f>$A13*U$23</f>
        <v>0</v>
      </c>
      <c r="V13" s="53">
        <f>$A13*V$23</f>
        <v>0</v>
      </c>
      <c r="W13" s="50"/>
    </row>
    <row r="14" spans="1:25" ht="16" x14ac:dyDescent="0.2">
      <c r="E14" s="51">
        <v>2</v>
      </c>
      <c r="F14" s="56">
        <f>$A14*F$23</f>
        <v>0</v>
      </c>
      <c r="G14" s="58">
        <v>1</v>
      </c>
      <c r="H14" s="52">
        <f>$A14*H$23</f>
        <v>0</v>
      </c>
      <c r="I14" s="60">
        <v>1</v>
      </c>
      <c r="J14" s="50"/>
      <c r="K14" s="51">
        <v>2</v>
      </c>
      <c r="L14" s="56">
        <f>$A14*L$23</f>
        <v>0</v>
      </c>
      <c r="M14" s="55">
        <v>0</v>
      </c>
      <c r="N14" s="52">
        <f>$A14*N$23</f>
        <v>0</v>
      </c>
      <c r="O14" s="60">
        <v>1</v>
      </c>
      <c r="P14" s="50"/>
      <c r="R14" s="51">
        <v>2</v>
      </c>
      <c r="S14" s="56">
        <f>$A14*S$23</f>
        <v>0</v>
      </c>
      <c r="T14" s="55">
        <v>0</v>
      </c>
      <c r="U14" s="52">
        <f>$A14*U$23</f>
        <v>0</v>
      </c>
      <c r="V14" s="52">
        <v>0</v>
      </c>
      <c r="W14" s="50"/>
    </row>
    <row r="15" spans="1:25" ht="16" x14ac:dyDescent="0.2">
      <c r="E15" s="51">
        <v>1</v>
      </c>
      <c r="F15" s="56">
        <f>$A15*F$23</f>
        <v>0</v>
      </c>
      <c r="G15" s="57">
        <v>1</v>
      </c>
      <c r="H15" s="55">
        <f>$A15*H$23</f>
        <v>0</v>
      </c>
      <c r="I15" s="55">
        <f>$A15*I$23</f>
        <v>0</v>
      </c>
      <c r="J15" s="49"/>
      <c r="K15" s="51">
        <v>1</v>
      </c>
      <c r="L15" s="56">
        <f>$A15*L$23</f>
        <v>0</v>
      </c>
      <c r="M15" s="57">
        <v>4</v>
      </c>
      <c r="N15" s="55">
        <f>$A15*N$23</f>
        <v>0</v>
      </c>
      <c r="O15" s="58">
        <v>2</v>
      </c>
      <c r="P15" s="49"/>
      <c r="R15" s="51">
        <v>1</v>
      </c>
      <c r="S15" s="56">
        <f>$A15*S$23</f>
        <v>0</v>
      </c>
      <c r="T15" s="57">
        <v>4</v>
      </c>
      <c r="U15" s="55">
        <f>$A15*U$23</f>
        <v>0</v>
      </c>
      <c r="V15" s="58">
        <v>3</v>
      </c>
      <c r="W15" s="49"/>
    </row>
    <row r="16" spans="1:25" ht="16" x14ac:dyDescent="0.2">
      <c r="E16" s="50"/>
      <c r="F16" s="59">
        <v>1</v>
      </c>
      <c r="G16" s="59">
        <v>2</v>
      </c>
      <c r="H16" s="59">
        <v>3</v>
      </c>
      <c r="I16" s="59">
        <v>4</v>
      </c>
      <c r="J16" s="51" t="s">
        <v>18</v>
      </c>
      <c r="K16" s="50"/>
      <c r="L16" s="59">
        <v>1</v>
      </c>
      <c r="M16" s="59">
        <v>2</v>
      </c>
      <c r="N16" s="59">
        <v>3</v>
      </c>
      <c r="O16" s="59">
        <v>4</v>
      </c>
      <c r="P16" s="51" t="s">
        <v>18</v>
      </c>
      <c r="R16" s="50"/>
      <c r="S16" s="59">
        <v>1</v>
      </c>
      <c r="T16" s="59">
        <v>2</v>
      </c>
      <c r="U16" s="59">
        <v>3</v>
      </c>
      <c r="V16" s="59">
        <v>4</v>
      </c>
      <c r="W16" s="51" t="s">
        <v>18</v>
      </c>
    </row>
  </sheetData>
  <mergeCells count="2">
    <mergeCell ref="D6:D8"/>
    <mergeCell ref="Y6:Y8"/>
  </mergeCells>
  <phoneticPr fontId="16"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tabSelected="1" topLeftCell="A4" zoomScale="137" zoomScaleNormal="137" zoomScalePageLayoutView="137" workbookViewId="0">
      <selection activeCell="I11" sqref="I11"/>
    </sheetView>
  </sheetViews>
  <sheetFormatPr baseColWidth="10" defaultRowHeight="16" x14ac:dyDescent="0.2"/>
  <cols>
    <col min="2" max="2" width="9.6640625" customWidth="1"/>
  </cols>
  <sheetData>
    <row r="1" spans="1:10" x14ac:dyDescent="0.2">
      <c r="A1" s="51" t="s">
        <v>18</v>
      </c>
      <c r="B1" s="50"/>
      <c r="C1" s="50"/>
      <c r="D1" s="50"/>
      <c r="E1" s="50"/>
      <c r="F1" s="50"/>
      <c r="G1" s="50"/>
      <c r="H1" s="50"/>
      <c r="I1" s="50"/>
      <c r="J1" s="50"/>
    </row>
    <row r="2" spans="1:10" ht="67" customHeight="1" x14ac:dyDescent="0.2">
      <c r="A2" s="51">
        <v>4</v>
      </c>
      <c r="B2" s="68" t="s">
        <v>36</v>
      </c>
      <c r="C2" s="68"/>
      <c r="D2" s="68"/>
      <c r="E2" s="68"/>
      <c r="F2" s="68"/>
      <c r="G2" s="50"/>
      <c r="H2" s="50"/>
      <c r="I2" s="50"/>
      <c r="J2" s="50"/>
    </row>
    <row r="3" spans="1:10" ht="69" customHeight="1" x14ac:dyDescent="0.2">
      <c r="A3" s="51">
        <v>3</v>
      </c>
      <c r="B3" s="68" t="s">
        <v>37</v>
      </c>
      <c r="C3" s="68"/>
      <c r="D3" s="68"/>
      <c r="E3" s="68"/>
      <c r="F3" s="68"/>
      <c r="G3" s="50"/>
      <c r="H3" s="50"/>
      <c r="I3" s="50"/>
      <c r="J3" s="50"/>
    </row>
    <row r="4" spans="1:10" ht="67" customHeight="1" x14ac:dyDescent="0.2">
      <c r="A4" s="51">
        <v>2</v>
      </c>
      <c r="B4" s="68" t="s">
        <v>38</v>
      </c>
      <c r="C4" s="68"/>
      <c r="D4" s="68"/>
      <c r="E4" s="68"/>
      <c r="F4" s="68"/>
      <c r="G4" s="50"/>
      <c r="H4" s="50"/>
      <c r="I4" s="50"/>
      <c r="J4" s="50"/>
    </row>
    <row r="5" spans="1:10" ht="66" customHeight="1" x14ac:dyDescent="0.2">
      <c r="A5" s="51">
        <v>1</v>
      </c>
      <c r="B5" s="68" t="s">
        <v>39</v>
      </c>
      <c r="C5" s="68"/>
      <c r="D5" s="68"/>
      <c r="E5" s="68"/>
      <c r="F5" s="68"/>
      <c r="G5" s="50"/>
      <c r="H5" s="50"/>
      <c r="I5" s="50"/>
      <c r="J5" s="50"/>
    </row>
    <row r="6" spans="1:10" x14ac:dyDescent="0.2">
      <c r="A6" s="50"/>
      <c r="B6" s="50"/>
      <c r="C6" s="50"/>
      <c r="D6" s="50"/>
      <c r="E6" s="50"/>
      <c r="F6" s="50"/>
      <c r="G6" s="50"/>
      <c r="H6" s="50"/>
      <c r="I6" s="50"/>
      <c r="J6" s="50"/>
    </row>
    <row r="7" spans="1:10" x14ac:dyDescent="0.2">
      <c r="A7" s="50"/>
      <c r="B7" s="50"/>
      <c r="C7" s="50"/>
      <c r="D7" s="50"/>
      <c r="E7" s="50"/>
      <c r="F7" s="50"/>
      <c r="G7" s="50"/>
      <c r="H7" s="50"/>
      <c r="I7" s="50"/>
      <c r="J7" s="50"/>
    </row>
    <row r="8" spans="1:10" x14ac:dyDescent="0.2">
      <c r="A8" s="51" t="s">
        <v>10</v>
      </c>
      <c r="B8" s="50"/>
      <c r="C8" s="50"/>
      <c r="D8" s="50"/>
      <c r="E8" s="50"/>
      <c r="F8" s="50"/>
      <c r="G8" s="50"/>
      <c r="H8" s="50"/>
      <c r="I8" s="50"/>
      <c r="J8" s="50"/>
    </row>
    <row r="9" spans="1:10" ht="34" customHeight="1" x14ac:dyDescent="0.2">
      <c r="A9" s="51">
        <v>5</v>
      </c>
      <c r="B9" s="68" t="s">
        <v>19</v>
      </c>
      <c r="C9" s="68"/>
      <c r="D9" s="68"/>
      <c r="E9" s="68"/>
      <c r="F9" s="50"/>
      <c r="G9" s="50"/>
      <c r="H9" s="50"/>
      <c r="I9" s="50"/>
      <c r="J9" s="50"/>
    </row>
    <row r="10" spans="1:10" ht="32" customHeight="1" x14ac:dyDescent="0.2">
      <c r="A10" s="51">
        <v>4</v>
      </c>
      <c r="B10" s="68" t="s">
        <v>20</v>
      </c>
      <c r="C10" s="68"/>
      <c r="D10" s="68"/>
      <c r="E10" s="68"/>
      <c r="F10" s="50"/>
      <c r="G10" s="50"/>
      <c r="H10" s="50"/>
      <c r="I10" s="50"/>
      <c r="J10" s="50"/>
    </row>
    <row r="11" spans="1:10" ht="31" customHeight="1" x14ac:dyDescent="0.2">
      <c r="A11" s="51">
        <v>3</v>
      </c>
      <c r="B11" s="68" t="s">
        <v>21</v>
      </c>
      <c r="C11" s="68"/>
      <c r="D11" s="68"/>
      <c r="E11" s="68"/>
      <c r="F11" s="50"/>
      <c r="G11" s="50"/>
      <c r="H11" s="50"/>
      <c r="I11" s="50"/>
      <c r="J11" s="50"/>
    </row>
    <row r="12" spans="1:10" ht="32" customHeight="1" x14ac:dyDescent="0.2">
      <c r="A12" s="51">
        <v>2</v>
      </c>
      <c r="B12" s="68" t="s">
        <v>3</v>
      </c>
      <c r="C12" s="68"/>
      <c r="D12" s="68"/>
      <c r="E12" s="68"/>
      <c r="F12" s="50"/>
      <c r="G12" s="50"/>
      <c r="H12" s="50"/>
      <c r="I12" s="50"/>
      <c r="J12" s="50"/>
    </row>
    <row r="13" spans="1:10" ht="27" customHeight="1" x14ac:dyDescent="0.2">
      <c r="A13" s="51">
        <v>1</v>
      </c>
      <c r="B13" s="68" t="s">
        <v>22</v>
      </c>
      <c r="C13" s="68"/>
      <c r="D13" s="68"/>
      <c r="E13" s="68"/>
      <c r="F13" s="50"/>
      <c r="G13" s="50"/>
      <c r="H13" s="50"/>
      <c r="I13" s="50"/>
      <c r="J13" s="50"/>
    </row>
    <row r="14" spans="1:10" x14ac:dyDescent="0.2">
      <c r="A14" s="50"/>
      <c r="B14" s="50"/>
      <c r="C14" s="50"/>
      <c r="D14" s="50"/>
      <c r="E14" s="50"/>
      <c r="F14" s="50"/>
      <c r="G14" s="50"/>
      <c r="H14" s="50"/>
      <c r="I14" s="50"/>
      <c r="J14" s="50"/>
    </row>
    <row r="15" spans="1:10" x14ac:dyDescent="0.2">
      <c r="A15" s="50"/>
      <c r="B15" s="50"/>
      <c r="C15" s="50"/>
      <c r="D15" s="50"/>
      <c r="E15" s="50"/>
      <c r="F15" s="50"/>
      <c r="G15" s="50"/>
      <c r="H15" s="50"/>
      <c r="I15" s="50"/>
      <c r="J15" s="50"/>
    </row>
    <row r="16" spans="1:10" x14ac:dyDescent="0.2">
      <c r="A16" s="51" t="s">
        <v>23</v>
      </c>
      <c r="B16" s="50"/>
      <c r="C16" s="50"/>
      <c r="D16" s="50"/>
      <c r="E16" s="50"/>
      <c r="F16" s="50"/>
      <c r="G16" s="50"/>
      <c r="H16" s="51" t="s">
        <v>24</v>
      </c>
      <c r="I16" s="50"/>
      <c r="J16" s="50"/>
    </row>
    <row r="17" spans="1:10" x14ac:dyDescent="0.2">
      <c r="A17" s="49" t="s">
        <v>25</v>
      </c>
      <c r="B17" s="50"/>
      <c r="C17" s="50"/>
      <c r="D17" s="50"/>
      <c r="E17" s="50"/>
      <c r="F17" s="50"/>
      <c r="G17" s="50"/>
      <c r="H17" s="50"/>
      <c r="I17" s="50"/>
      <c r="J17" s="50"/>
    </row>
    <row r="18" spans="1:10" x14ac:dyDescent="0.2">
      <c r="A18" s="51">
        <v>5</v>
      </c>
      <c r="B18" s="52">
        <f t="shared" ref="B18:E22" si="0">$A18*B$23</f>
        <v>5</v>
      </c>
      <c r="C18" s="53">
        <f t="shared" si="0"/>
        <v>10</v>
      </c>
      <c r="D18" s="54">
        <f t="shared" si="0"/>
        <v>15</v>
      </c>
      <c r="E18" s="54">
        <f t="shared" si="0"/>
        <v>20</v>
      </c>
      <c r="F18" s="50"/>
      <c r="G18" s="50"/>
      <c r="H18" s="63" t="s">
        <v>26</v>
      </c>
      <c r="I18" s="50" t="s">
        <v>27</v>
      </c>
      <c r="J18" s="50"/>
    </row>
    <row r="19" spans="1:10" x14ac:dyDescent="0.2">
      <c r="A19" s="51">
        <v>4</v>
      </c>
      <c r="B19" s="55">
        <f t="shared" si="0"/>
        <v>4</v>
      </c>
      <c r="C19" s="52">
        <f t="shared" si="0"/>
        <v>8</v>
      </c>
      <c r="D19" s="53">
        <f t="shared" si="0"/>
        <v>12</v>
      </c>
      <c r="E19" s="54">
        <f t="shared" si="0"/>
        <v>16</v>
      </c>
      <c r="F19" s="50"/>
      <c r="G19" s="50"/>
      <c r="H19" s="64" t="s">
        <v>28</v>
      </c>
      <c r="I19" s="50" t="s">
        <v>29</v>
      </c>
      <c r="J19" s="50"/>
    </row>
    <row r="20" spans="1:10" x14ac:dyDescent="0.2">
      <c r="A20" s="51">
        <v>3</v>
      </c>
      <c r="B20" s="55">
        <f t="shared" si="0"/>
        <v>3</v>
      </c>
      <c r="C20" s="52">
        <f t="shared" si="0"/>
        <v>6</v>
      </c>
      <c r="D20" s="53">
        <f t="shared" si="0"/>
        <v>9</v>
      </c>
      <c r="E20" s="53">
        <f t="shared" si="0"/>
        <v>12</v>
      </c>
      <c r="F20" s="50"/>
      <c r="G20" s="50"/>
      <c r="H20" s="65" t="s">
        <v>30</v>
      </c>
      <c r="I20" s="50" t="s">
        <v>31</v>
      </c>
      <c r="J20" s="50"/>
    </row>
    <row r="21" spans="1:10" x14ac:dyDescent="0.2">
      <c r="A21" s="51">
        <v>2</v>
      </c>
      <c r="B21" s="56">
        <f t="shared" si="0"/>
        <v>2</v>
      </c>
      <c r="C21" s="55">
        <f t="shared" si="0"/>
        <v>4</v>
      </c>
      <c r="D21" s="52">
        <f t="shared" si="0"/>
        <v>6</v>
      </c>
      <c r="E21" s="52">
        <f t="shared" si="0"/>
        <v>8</v>
      </c>
      <c r="F21" s="50"/>
      <c r="G21" s="50"/>
      <c r="H21" s="66" t="s">
        <v>32</v>
      </c>
      <c r="I21" s="50" t="s">
        <v>33</v>
      </c>
      <c r="J21" s="50"/>
    </row>
    <row r="22" spans="1:10" x14ac:dyDescent="0.2">
      <c r="A22" s="51">
        <v>1</v>
      </c>
      <c r="B22" s="56">
        <f t="shared" si="0"/>
        <v>1</v>
      </c>
      <c r="C22" s="56">
        <f t="shared" si="0"/>
        <v>2</v>
      </c>
      <c r="D22" s="55">
        <f t="shared" si="0"/>
        <v>3</v>
      </c>
      <c r="E22" s="55">
        <f t="shared" si="0"/>
        <v>4</v>
      </c>
      <c r="F22" s="49"/>
      <c r="G22" s="50"/>
      <c r="H22" s="67" t="s">
        <v>34</v>
      </c>
      <c r="I22" s="50" t="s">
        <v>35</v>
      </c>
      <c r="J22" s="50"/>
    </row>
    <row r="23" spans="1:10" x14ac:dyDescent="0.2">
      <c r="A23" s="50"/>
      <c r="B23" s="59">
        <v>1</v>
      </c>
      <c r="C23" s="59">
        <v>2</v>
      </c>
      <c r="D23" s="59">
        <v>3</v>
      </c>
      <c r="E23" s="59">
        <v>4</v>
      </c>
      <c r="F23" s="49" t="s">
        <v>18</v>
      </c>
      <c r="G23" s="50"/>
      <c r="H23" s="50"/>
      <c r="I23" s="50"/>
      <c r="J23" s="50"/>
    </row>
  </sheetData>
  <mergeCells count="9">
    <mergeCell ref="B13:E13"/>
    <mergeCell ref="B3:F3"/>
    <mergeCell ref="B4:F4"/>
    <mergeCell ref="B5:F5"/>
    <mergeCell ref="B2:F2"/>
    <mergeCell ref="B9:E9"/>
    <mergeCell ref="B10:E10"/>
    <mergeCell ref="B11:E11"/>
    <mergeCell ref="B12:E12"/>
  </mergeCells>
  <phoneticPr fontId="16" type="noConversion"/>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Template</vt:lpstr>
      <vt:lpstr>Sample</vt:lpstr>
      <vt:lpstr>Rating Systems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Wik-Grimm</dc:creator>
  <cp:lastModifiedBy>David Ancor</cp:lastModifiedBy>
  <dcterms:created xsi:type="dcterms:W3CDTF">2013-01-17T14:55:19Z</dcterms:created>
  <dcterms:modified xsi:type="dcterms:W3CDTF">2026-04-19T21:29:16Z</dcterms:modified>
</cp:coreProperties>
</file>