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ancor/Documents/MBA/System Design - eCornell/6 - Defining Interfaces/6-software-define-interface-LLM-kb/"/>
    </mc:Choice>
  </mc:AlternateContent>
  <xr:revisionPtr revIDLastSave="0" documentId="13_ncr:1_{C21FDE35-9EDA-FA4F-AD73-197997F2998B}" xr6:coauthVersionLast="47" xr6:coauthVersionMax="47" xr10:uidLastSave="{00000000-0000-0000-0000-000000000000}"/>
  <bookViews>
    <workbookView xWindow="-33260" yWindow="2020" windowWidth="33320" windowHeight="18240" tabRatio="555" xr2:uid="{00000000-000D-0000-FFFF-FFFF00000000}"/>
  </bookViews>
  <sheets>
    <sheet name="Instructions" sheetId="12" r:id="rId1"/>
    <sheet name="System" sheetId="13" r:id="rId2"/>
    <sheet name="Adv. Sample - Chassis Design" sheetId="7" r:id="rId3"/>
    <sheet name="Adv. Sample - Motor Drive" sheetId="8" r:id="rId4"/>
    <sheet name="Adv. Sample - Power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3" l="1"/>
  <c r="F5" i="13"/>
  <c r="R5" i="13"/>
  <c r="R6" i="13" s="1"/>
  <c r="R7" i="13" s="1"/>
  <c r="F6" i="13"/>
  <c r="Q5" i="9" l="1"/>
  <c r="Q6" i="9" s="1"/>
  <c r="Q7" i="9" s="1"/>
  <c r="Q8" i="9" s="1"/>
  <c r="Q9" i="9" s="1"/>
  <c r="Q10" i="9" s="1"/>
  <c r="Q11" i="9" s="1"/>
  <c r="Q12" i="9" s="1"/>
  <c r="Q13" i="9" s="1"/>
  <c r="Q14" i="9" s="1"/>
  <c r="Q15" i="9" s="1"/>
  <c r="Q16" i="9" s="1"/>
  <c r="Q17" i="9" s="1"/>
  <c r="F20" i="8"/>
  <c r="F16" i="8"/>
  <c r="Q5" i="8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E16" i="7"/>
  <c r="E9" i="7"/>
  <c r="Q5" i="7"/>
  <c r="Q6" i="7" s="1"/>
  <c r="Q7" i="7" s="1"/>
  <c r="Q8" i="7" s="1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</calcChain>
</file>

<file path=xl/sharedStrings.xml><?xml version="1.0" encoding="utf-8"?>
<sst xmlns="http://schemas.openxmlformats.org/spreadsheetml/2006/main" count="341" uniqueCount="110">
  <si>
    <t>Units</t>
  </si>
  <si>
    <t>Last Updated</t>
  </si>
  <si>
    <t>Last Updated By</t>
  </si>
  <si>
    <t>Estimate?</t>
  </si>
  <si>
    <t>X</t>
  </si>
  <si>
    <t>Est. Update Due Date</t>
  </si>
  <si>
    <t>Actual Due Date</t>
  </si>
  <si>
    <t>Interface Champ.</t>
  </si>
  <si>
    <t>Chassis Design</t>
  </si>
  <si>
    <t>Motor Drive</t>
  </si>
  <si>
    <t>Power</t>
  </si>
  <si>
    <t>Total Volume Allocated to Motors</t>
  </si>
  <si>
    <t>Row #</t>
  </si>
  <si>
    <t>Actual Volume used by Power subsystem</t>
  </si>
  <si>
    <t>Total Volume Allocated to Power subsystem</t>
  </si>
  <si>
    <t>Total Volume Max</t>
  </si>
  <si>
    <t>Total Weight Allocated to Motors</t>
  </si>
  <si>
    <t>Total Weight Allocated to Power subsystem</t>
  </si>
  <si>
    <t>Actual Weight used by Power subsystem</t>
  </si>
  <si>
    <t>Motor Cost</t>
  </si>
  <si>
    <t>Motor Dimensions</t>
  </si>
  <si>
    <t>Motor Length</t>
  </si>
  <si>
    <t>Power Information</t>
  </si>
  <si>
    <t>Motor power rating</t>
  </si>
  <si>
    <t>Motor Weight</t>
  </si>
  <si>
    <t>Motors Weight</t>
  </si>
  <si>
    <t>Actual Weight used by Motor drive subsystem</t>
  </si>
  <si>
    <t>Maximum Duration Usage</t>
  </si>
  <si>
    <t>Motor Drive Subsystem</t>
  </si>
  <si>
    <t>Power Subsystem</t>
  </si>
  <si>
    <t>Voltages Supplied</t>
  </si>
  <si>
    <t>Max Current Draw</t>
  </si>
  <si>
    <t>Motor Current</t>
  </si>
  <si>
    <t>Motor Voltage</t>
  </si>
  <si>
    <t>Max Voltage Supplied</t>
  </si>
  <si>
    <t>Power Board Cost</t>
  </si>
  <si>
    <t>Motor Installation Guide</t>
  </si>
  <si>
    <t>Power Board Connection Instructions</t>
  </si>
  <si>
    <t>Power Board Dimensions</t>
  </si>
  <si>
    <t>5, 12, 24</t>
  </si>
  <si>
    <t>V</t>
  </si>
  <si>
    <t>Total Cost Allowed</t>
  </si>
  <si>
    <t>Chassis Design Cost</t>
  </si>
  <si>
    <r>
      <t>in</t>
    </r>
    <r>
      <rPr>
        <vertAlign val="superscript"/>
        <sz val="11"/>
        <color theme="1"/>
        <rFont val="Calibri"/>
        <family val="2"/>
        <scheme val="minor"/>
      </rPr>
      <t>3</t>
    </r>
  </si>
  <si>
    <t>kg</t>
  </si>
  <si>
    <t>$</t>
  </si>
  <si>
    <t>W</t>
  </si>
  <si>
    <t>A</t>
  </si>
  <si>
    <t>min.</t>
  </si>
  <si>
    <t>g</t>
  </si>
  <si>
    <t>Motor Dia.</t>
  </si>
  <si>
    <t>mm</t>
  </si>
  <si>
    <t xml:space="preserve">less than 6 </t>
  </si>
  <si>
    <t xml:space="preserve"> incl. components &amp; shipping: 230</t>
  </si>
  <si>
    <t>PowerBoardInstructions (Sec 2.1)</t>
  </si>
  <si>
    <t>.docx</t>
  </si>
  <si>
    <t>MotorGuide  (Sec 1.2)</t>
  </si>
  <si>
    <t>Archie</t>
  </si>
  <si>
    <t>Fritz</t>
  </si>
  <si>
    <t>Susan</t>
  </si>
  <si>
    <t>Heidi</t>
  </si>
  <si>
    <t>Rebecca</t>
  </si>
  <si>
    <t>Ahmed</t>
  </si>
  <si>
    <t>Yashoda</t>
  </si>
  <si>
    <t>Jose</t>
  </si>
  <si>
    <t>Allison</t>
  </si>
  <si>
    <t>Yulia</t>
  </si>
  <si>
    <t>Kelsey</t>
  </si>
  <si>
    <t>Marc</t>
  </si>
  <si>
    <t>Horitz</t>
  </si>
  <si>
    <t>Nick</t>
  </si>
  <si>
    <t>Justin</t>
  </si>
  <si>
    <t>Justine</t>
  </si>
  <si>
    <t>Nero</t>
  </si>
  <si>
    <t>Jin</t>
  </si>
  <si>
    <t>Hilary</t>
  </si>
  <si>
    <t>Lesslie</t>
  </si>
  <si>
    <t>Octavier</t>
  </si>
  <si>
    <t>Xing</t>
  </si>
  <si>
    <t>12 x 2.5 x 1</t>
  </si>
  <si>
    <t>in.</t>
  </si>
  <si>
    <t>Instructions:</t>
  </si>
  <si>
    <t>True Budget Total</t>
  </si>
  <si>
    <t>Value / Target Budget Total</t>
  </si>
  <si>
    <t>Received From</t>
  </si>
  <si>
    <t>Total Component Weight Max</t>
  </si>
  <si>
    <t>Actual Volume used by Motors</t>
  </si>
  <si>
    <t>Interface Matrix Sample</t>
  </si>
  <si>
    <t>Advanced Sample</t>
  </si>
  <si>
    <t>Interface Matrix Excerpt : Chassis Design Subsystem Sheet</t>
  </si>
  <si>
    <t>Interface Matrix Excerpt : Motor Drive Subsystem Sheet</t>
  </si>
  <si>
    <t>Interface Matrix Excerpt : Power Subsystem Sheet</t>
  </si>
  <si>
    <t>Reliability Rating</t>
  </si>
  <si>
    <t>Max</t>
  </si>
  <si>
    <t>Jackie</t>
  </si>
  <si>
    <t>Rating Scale</t>
  </si>
  <si>
    <t>B</t>
  </si>
  <si>
    <t>Test Equipment A Time</t>
  </si>
  <si>
    <t>Anjuli</t>
  </si>
  <si>
    <t>hrs</t>
  </si>
  <si>
    <t>System Shipment Weight</t>
  </si>
  <si>
    <t>Susie</t>
  </si>
  <si>
    <t>Financial Budget</t>
  </si>
  <si>
    <t>Harry</t>
  </si>
  <si>
    <t>Budget Total Check</t>
  </si>
  <si>
    <t>System</t>
  </si>
  <si>
    <t>Interface Trace Matrix Excerpt : System Sheet</t>
  </si>
  <si>
    <t>in3</t>
  </si>
  <si>
    <t>Provided To</t>
  </si>
  <si>
    <t>This document contains a sample of how to fill out an advanced interface matrix with bidirectional communication lists and system-level budgeting. Each sheet refers to a different subsystem.You are not required to fill out an advanced interface matrix for this course.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</si>
</sst>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5C5C5C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i/>
      <sz val="14"/>
      <color theme="1"/>
      <name val="Arial"/>
      <family val="2"/>
    </font>
    <font>
      <sz val="18"/>
      <color theme="1"/>
      <name val="Calibri (Body)_x0000_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4" fillId="0" borderId="0" xfId="0" applyFont="1"/>
    <xf numFmtId="0" fontId="3" fillId="2" borderId="1" xfId="0" applyFont="1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right"/>
    </xf>
    <xf numFmtId="0" fontId="7" fillId="0" borderId="0" xfId="1" applyFont="1" applyAlignment="1">
      <alignment horizontal="right"/>
    </xf>
    <xf numFmtId="0" fontId="8" fillId="0" borderId="0" xfId="1" applyFont="1"/>
    <xf numFmtId="0" fontId="9" fillId="0" borderId="0" xfId="1" applyFont="1"/>
    <xf numFmtId="0" fontId="10" fillId="0" borderId="0" xfId="1" applyFont="1"/>
    <xf numFmtId="0" fontId="11" fillId="0" borderId="0" xfId="1" applyFont="1"/>
    <xf numFmtId="0" fontId="12" fillId="0" borderId="0" xfId="1" applyFont="1" applyAlignment="1">
      <alignment vertical="top" wrapText="1"/>
    </xf>
    <xf numFmtId="0" fontId="13" fillId="0" borderId="0" xfId="1" applyFont="1" applyAlignment="1">
      <alignment wrapText="1"/>
    </xf>
    <xf numFmtId="0" fontId="8" fillId="0" borderId="0" xfId="1" applyFont="1" applyAlignment="1">
      <alignment vertical="top" wrapText="1"/>
    </xf>
    <xf numFmtId="0" fontId="6" fillId="0" borderId="0" xfId="1" applyFont="1"/>
    <xf numFmtId="0" fontId="3" fillId="2" borderId="2" xfId="0" applyFont="1" applyFill="1" applyBorder="1"/>
    <xf numFmtId="0" fontId="14" fillId="0" borderId="0" xfId="0" applyFont="1"/>
    <xf numFmtId="3" fontId="0" fillId="0" borderId="0" xfId="0" applyNumberFormat="1"/>
  </cellXfs>
  <cellStyles count="2">
    <cellStyle name="Normal" xfId="0" builtinId="0"/>
    <cellStyle name="Normal 2" xfId="1" xr:uid="{4FC14ED5-0EBF-9A44-A24F-EB8D4B5944D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BDBF1-9B4B-5042-B045-9D81A7BE0203}">
  <dimension ref="B3:B14"/>
  <sheetViews>
    <sheetView showGridLines="0" tabSelected="1" workbookViewId="0">
      <selection activeCell="B21" sqref="B21"/>
    </sheetView>
  </sheetViews>
  <sheetFormatPr baseColWidth="10" defaultRowHeight="16"/>
  <cols>
    <col min="1" max="1" width="10.83203125" style="18"/>
    <col min="2" max="2" width="148.6640625" style="18" customWidth="1"/>
    <col min="3" max="16384" width="10.83203125" style="18"/>
  </cols>
  <sheetData>
    <row r="3" spans="2:2">
      <c r="B3" s="17"/>
    </row>
    <row r="4" spans="2:2" ht="16" customHeight="1">
      <c r="B4" s="17"/>
    </row>
    <row r="5" spans="2:2" ht="51" customHeight="1">
      <c r="B5" s="19" t="s">
        <v>87</v>
      </c>
    </row>
    <row r="6" spans="2:2" ht="20">
      <c r="B6" s="20" t="s">
        <v>88</v>
      </c>
    </row>
    <row r="8" spans="2:2" ht="18">
      <c r="B8" s="21" t="s">
        <v>81</v>
      </c>
    </row>
    <row r="9" spans="2:2" ht="125" customHeight="1">
      <c r="B9" s="22" t="s">
        <v>109</v>
      </c>
    </row>
    <row r="10" spans="2:2" ht="29" customHeight="1">
      <c r="B10" s="23"/>
    </row>
    <row r="11" spans="2:2" ht="23" customHeight="1">
      <c r="B11" s="24"/>
    </row>
    <row r="12" spans="2:2" ht="24" customHeight="1">
      <c r="B12" s="24"/>
    </row>
    <row r="14" spans="2:2">
      <c r="B14" s="25"/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5B65-E766-FF4B-92DB-471D786168C3}">
  <dimension ref="A1:V25"/>
  <sheetViews>
    <sheetView zoomScaleNormal="100" workbookViewId="0">
      <selection activeCell="B40" sqref="B40"/>
    </sheetView>
  </sheetViews>
  <sheetFormatPr baseColWidth="10" defaultColWidth="8.83203125" defaultRowHeight="15"/>
  <cols>
    <col min="2" max="2" width="21.33203125" bestFit="1" customWidth="1"/>
    <col min="3" max="4" width="14.33203125" bestFit="1" customWidth="1"/>
    <col min="5" max="5" width="1.6640625" style="7" customWidth="1"/>
    <col min="6" max="7" width="18.5" customWidth="1"/>
    <col min="8" max="8" width="11.5" style="13" bestFit="1" customWidth="1"/>
    <col min="9" max="9" width="9.6640625" bestFit="1" customWidth="1"/>
    <col min="10" max="10" width="1.6640625" style="7" customWidth="1"/>
    <col min="11" max="11" width="12.5" bestFit="1" customWidth="1"/>
    <col min="12" max="12" width="15.1640625" style="13" bestFit="1" customWidth="1"/>
    <col min="13" max="13" width="15.1640625" style="13" customWidth="1"/>
    <col min="14" max="14" width="1.5" style="7" customWidth="1"/>
    <col min="15" max="15" width="19.83203125" bestFit="1" customWidth="1"/>
    <col min="16" max="16" width="15.5" bestFit="1" customWidth="1"/>
    <col min="17" max="17" width="1.6640625" style="7" customWidth="1"/>
    <col min="18" max="18" width="6.33203125" bestFit="1" customWidth="1"/>
  </cols>
  <sheetData>
    <row r="1" spans="1:21" ht="24">
      <c r="A1" s="11" t="s">
        <v>106</v>
      </c>
      <c r="E1"/>
      <c r="J1"/>
      <c r="N1"/>
      <c r="Q1"/>
    </row>
    <row r="2" spans="1:21">
      <c r="E2"/>
      <c r="J2"/>
      <c r="N2"/>
      <c r="Q2"/>
    </row>
    <row r="3" spans="1:21" ht="16" thickBot="1">
      <c r="A3" s="8" t="s">
        <v>105</v>
      </c>
      <c r="B3" s="2" t="s">
        <v>8</v>
      </c>
      <c r="C3" s="2" t="s">
        <v>9</v>
      </c>
      <c r="D3" s="2" t="s">
        <v>10</v>
      </c>
      <c r="E3" s="8"/>
      <c r="F3" s="4" t="s">
        <v>104</v>
      </c>
      <c r="G3" s="4" t="s">
        <v>82</v>
      </c>
      <c r="H3" s="14" t="s">
        <v>0</v>
      </c>
      <c r="I3" s="4" t="s">
        <v>3</v>
      </c>
      <c r="J3" s="10"/>
      <c r="K3" s="4" t="s">
        <v>1</v>
      </c>
      <c r="L3" s="14" t="s">
        <v>2</v>
      </c>
      <c r="M3" s="14" t="s">
        <v>7</v>
      </c>
      <c r="N3" s="10"/>
      <c r="O3" s="4" t="s">
        <v>5</v>
      </c>
      <c r="P3" s="4" t="s">
        <v>6</v>
      </c>
      <c r="Q3" s="10"/>
      <c r="R3" s="4" t="s">
        <v>12</v>
      </c>
      <c r="S3" s="3" t="s">
        <v>8</v>
      </c>
    </row>
    <row r="4" spans="1:21" ht="16" thickTop="1">
      <c r="A4" s="7"/>
      <c r="B4" s="28">
        <v>410515</v>
      </c>
      <c r="C4" s="28">
        <v>875615</v>
      </c>
      <c r="D4" s="28">
        <v>251968</v>
      </c>
      <c r="F4" s="28">
        <f>SUM(B4:D4)</f>
        <v>1538098</v>
      </c>
      <c r="G4" s="28">
        <v>1538098</v>
      </c>
      <c r="H4" s="13" t="s">
        <v>45</v>
      </c>
      <c r="I4" t="s">
        <v>4</v>
      </c>
      <c r="K4" s="15">
        <v>41085</v>
      </c>
      <c r="L4" s="13" t="s">
        <v>103</v>
      </c>
      <c r="M4" s="13" t="s">
        <v>93</v>
      </c>
      <c r="O4" s="15">
        <v>41105</v>
      </c>
      <c r="P4" s="15">
        <v>41122</v>
      </c>
      <c r="R4">
        <v>5</v>
      </c>
      <c r="S4" t="s">
        <v>102</v>
      </c>
    </row>
    <row r="5" spans="1:21">
      <c r="A5" s="7"/>
      <c r="B5">
        <v>3.25</v>
      </c>
      <c r="C5">
        <v>2</v>
      </c>
      <c r="D5">
        <v>0.25</v>
      </c>
      <c r="F5">
        <f>SUM(B5:D5)</f>
        <v>5.5</v>
      </c>
      <c r="G5">
        <v>5.5</v>
      </c>
      <c r="H5" s="13" t="s">
        <v>44</v>
      </c>
      <c r="I5" t="s">
        <v>4</v>
      </c>
      <c r="K5" s="15">
        <v>41086</v>
      </c>
      <c r="L5" s="13" t="s">
        <v>101</v>
      </c>
      <c r="M5" s="13" t="s">
        <v>93</v>
      </c>
      <c r="O5" s="15">
        <v>41105</v>
      </c>
      <c r="P5" s="15">
        <v>41122</v>
      </c>
      <c r="R5">
        <f>R4+1</f>
        <v>6</v>
      </c>
      <c r="S5" t="s">
        <v>100</v>
      </c>
    </row>
    <row r="6" spans="1:21">
      <c r="A6" s="7"/>
      <c r="B6">
        <v>0</v>
      </c>
      <c r="C6">
        <v>20</v>
      </c>
      <c r="D6">
        <v>10</v>
      </c>
      <c r="F6">
        <f>SUM(B6:D6)</f>
        <v>30</v>
      </c>
      <c r="G6">
        <v>35</v>
      </c>
      <c r="H6" s="13" t="s">
        <v>99</v>
      </c>
      <c r="I6" t="s">
        <v>4</v>
      </c>
      <c r="K6" s="15">
        <v>41086</v>
      </c>
      <c r="L6" s="13" t="s">
        <v>98</v>
      </c>
      <c r="M6" s="13" t="s">
        <v>93</v>
      </c>
      <c r="O6" s="15">
        <v>41105</v>
      </c>
      <c r="P6" s="15">
        <v>41122</v>
      </c>
      <c r="R6">
        <f>R5+1</f>
        <v>7</v>
      </c>
      <c r="S6" t="s">
        <v>97</v>
      </c>
    </row>
    <row r="7" spans="1:21">
      <c r="A7" s="7"/>
      <c r="B7" s="5" t="s">
        <v>47</v>
      </c>
      <c r="C7" s="5" t="s">
        <v>96</v>
      </c>
      <c r="D7" s="5" t="s">
        <v>47</v>
      </c>
      <c r="G7" s="5" t="s">
        <v>96</v>
      </c>
      <c r="H7" s="13" t="s">
        <v>95</v>
      </c>
      <c r="K7" s="15">
        <v>41101</v>
      </c>
      <c r="L7" s="13" t="s">
        <v>94</v>
      </c>
      <c r="M7" s="13" t="s">
        <v>93</v>
      </c>
      <c r="O7">
        <v>0</v>
      </c>
      <c r="P7" s="15">
        <v>41101</v>
      </c>
      <c r="R7">
        <f>R6+1</f>
        <v>8</v>
      </c>
      <c r="S7" t="s">
        <v>92</v>
      </c>
      <c r="T7" s="1"/>
    </row>
    <row r="8" spans="1:21">
      <c r="F8" s="28"/>
      <c r="K8" s="15"/>
      <c r="P8" s="15"/>
      <c r="T8" s="1"/>
    </row>
    <row r="9" spans="1:21">
      <c r="K9" s="15"/>
      <c r="O9" s="15"/>
      <c r="P9" s="15"/>
    </row>
    <row r="10" spans="1:21">
      <c r="K10" s="15"/>
      <c r="O10" s="15"/>
      <c r="P10" s="15"/>
    </row>
    <row r="11" spans="1:21">
      <c r="K11" s="15"/>
      <c r="O11" s="15"/>
      <c r="P11" s="15"/>
    </row>
    <row r="12" spans="1:21">
      <c r="K12" s="15"/>
      <c r="P12" s="15"/>
      <c r="T12" s="1"/>
    </row>
    <row r="13" spans="1:21">
      <c r="K13" s="15"/>
      <c r="P13" s="15"/>
      <c r="T13" s="1"/>
    </row>
    <row r="14" spans="1:21">
      <c r="K14" s="15"/>
      <c r="P14" s="15"/>
      <c r="S14" s="1"/>
      <c r="T14" s="1"/>
    </row>
    <row r="15" spans="1:21">
      <c r="K15" s="15"/>
      <c r="P15" s="15"/>
      <c r="S15" s="1"/>
    </row>
    <row r="16" spans="1:21">
      <c r="K16" s="15"/>
      <c r="O16" s="15"/>
      <c r="P16" s="15"/>
      <c r="U16" s="1"/>
    </row>
    <row r="17" spans="2:22">
      <c r="K17" s="15"/>
      <c r="O17" s="15"/>
      <c r="P17" s="15"/>
      <c r="V17" s="1"/>
    </row>
    <row r="18" spans="2:22">
      <c r="I18" s="5"/>
      <c r="K18" s="16"/>
      <c r="O18" s="16"/>
      <c r="P18" s="16"/>
      <c r="T18" s="1"/>
      <c r="V18" s="1"/>
    </row>
    <row r="19" spans="2:22">
      <c r="I19" s="5"/>
      <c r="K19" s="16"/>
      <c r="O19" s="16"/>
      <c r="P19" s="16"/>
      <c r="T19" s="1"/>
    </row>
    <row r="21" spans="2:22">
      <c r="V21" s="1"/>
    </row>
    <row r="25" spans="2:22" s="18" customFormat="1" ht="16">
      <c r="B25" s="2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2612-5AA5-4322-92F2-D985294D8369}">
  <dimension ref="A1:U25"/>
  <sheetViews>
    <sheetView workbookViewId="0">
      <pane xSplit="18980" topLeftCell="O1"/>
      <selection activeCell="B25" sqref="B25"/>
      <selection pane="topRight" activeCell="R9" sqref="R9"/>
    </sheetView>
  </sheetViews>
  <sheetFormatPr baseColWidth="10" defaultColWidth="8.83203125" defaultRowHeight="15"/>
  <cols>
    <col min="1" max="1" width="21.33203125" style="6" bestFit="1" customWidth="1"/>
    <col min="2" max="3" width="14.33203125" bestFit="1" customWidth="1"/>
    <col min="4" max="4" width="1.6640625" style="7" customWidth="1"/>
    <col min="5" max="5" width="18.5" customWidth="1"/>
    <col min="6" max="6" width="28.5" style="5" customWidth="1"/>
    <col min="7" max="7" width="9.1640625" style="13"/>
    <col min="8" max="8" width="9.6640625" bestFit="1" customWidth="1"/>
    <col min="9" max="9" width="1.6640625" style="7" customWidth="1"/>
    <col min="10" max="10" width="12.5" bestFit="1" customWidth="1"/>
    <col min="11" max="11" width="15.1640625" style="13" bestFit="1" customWidth="1"/>
    <col min="12" max="12" width="15.1640625" style="13" customWidth="1"/>
    <col min="13" max="13" width="1.5" style="7" customWidth="1"/>
    <col min="14" max="14" width="19.83203125" bestFit="1" customWidth="1"/>
    <col min="15" max="15" width="15.5" bestFit="1" customWidth="1"/>
    <col min="16" max="16" width="1.6640625" style="7" customWidth="1"/>
    <col min="17" max="17" width="6.33203125" bestFit="1" customWidth="1"/>
  </cols>
  <sheetData>
    <row r="1" spans="1:20" ht="24">
      <c r="A1" s="27" t="s">
        <v>89</v>
      </c>
      <c r="D1"/>
    </row>
    <row r="2" spans="1:20">
      <c r="A2"/>
      <c r="D2"/>
    </row>
    <row r="3" spans="1:20" ht="16" thickBot="1">
      <c r="A3" s="26" t="s">
        <v>8</v>
      </c>
      <c r="B3" s="2" t="s">
        <v>9</v>
      </c>
      <c r="C3" s="2" t="s">
        <v>10</v>
      </c>
      <c r="D3" s="8"/>
      <c r="E3" s="4" t="s">
        <v>82</v>
      </c>
      <c r="F3" s="9" t="s">
        <v>83</v>
      </c>
      <c r="G3" s="14" t="s">
        <v>0</v>
      </c>
      <c r="H3" s="4" t="s">
        <v>3</v>
      </c>
      <c r="I3" s="10"/>
      <c r="J3" s="4" t="s">
        <v>1</v>
      </c>
      <c r="K3" s="14" t="s">
        <v>2</v>
      </c>
      <c r="L3" s="14" t="s">
        <v>7</v>
      </c>
      <c r="M3" s="10"/>
      <c r="N3" s="4" t="s">
        <v>5</v>
      </c>
      <c r="O3" s="4" t="s">
        <v>6</v>
      </c>
      <c r="P3" s="10"/>
      <c r="Q3" s="4" t="s">
        <v>12</v>
      </c>
      <c r="R3" s="3" t="s">
        <v>8</v>
      </c>
    </row>
    <row r="4" spans="1:20" ht="18" thickTop="1">
      <c r="B4" t="s">
        <v>108</v>
      </c>
      <c r="C4" t="s">
        <v>108</v>
      </c>
      <c r="F4">
        <v>144</v>
      </c>
      <c r="G4" s="13" t="s">
        <v>43</v>
      </c>
      <c r="H4" t="s">
        <v>4</v>
      </c>
      <c r="J4" s="15">
        <v>41085</v>
      </c>
      <c r="K4" s="13" t="s">
        <v>74</v>
      </c>
      <c r="L4" s="13" t="s">
        <v>73</v>
      </c>
      <c r="N4" s="15">
        <v>41105</v>
      </c>
      <c r="O4" s="15">
        <v>41122</v>
      </c>
      <c r="Q4">
        <v>5</v>
      </c>
      <c r="R4" t="s">
        <v>15</v>
      </c>
    </row>
    <row r="5" spans="1:20" ht="17">
      <c r="B5" t="s">
        <v>108</v>
      </c>
      <c r="F5" s="5">
        <v>10</v>
      </c>
      <c r="G5" s="13" t="s">
        <v>43</v>
      </c>
      <c r="H5" t="s">
        <v>4</v>
      </c>
      <c r="J5" s="15">
        <v>41086</v>
      </c>
      <c r="K5" s="13" t="s">
        <v>74</v>
      </c>
      <c r="L5" s="13" t="s">
        <v>73</v>
      </c>
      <c r="N5" s="15">
        <v>41105</v>
      </c>
      <c r="O5" s="15">
        <v>41122</v>
      </c>
      <c r="Q5">
        <f>Q4+1</f>
        <v>6</v>
      </c>
      <c r="S5" t="s">
        <v>11</v>
      </c>
    </row>
    <row r="6" spans="1:20" ht="17">
      <c r="C6" t="s">
        <v>108</v>
      </c>
      <c r="F6" s="5">
        <v>12</v>
      </c>
      <c r="G6" s="13" t="s">
        <v>43</v>
      </c>
      <c r="H6" t="s">
        <v>4</v>
      </c>
      <c r="J6" s="15">
        <v>41086</v>
      </c>
      <c r="K6" s="13" t="s">
        <v>74</v>
      </c>
      <c r="L6" s="13" t="s">
        <v>73</v>
      </c>
      <c r="N6" s="15">
        <v>41105</v>
      </c>
      <c r="O6" s="15">
        <v>41122</v>
      </c>
      <c r="Q6">
        <f t="shared" ref="Q6:Q19" si="0">Q5+1</f>
        <v>7</v>
      </c>
      <c r="S6" t="s">
        <v>14</v>
      </c>
    </row>
    <row r="7" spans="1:20">
      <c r="B7" t="s">
        <v>84</v>
      </c>
      <c r="F7" s="5">
        <v>7.9481250000000001</v>
      </c>
      <c r="G7" s="13" t="s">
        <v>107</v>
      </c>
      <c r="J7" s="15">
        <v>41101</v>
      </c>
      <c r="K7" s="13" t="s">
        <v>69</v>
      </c>
      <c r="L7" s="13" t="s">
        <v>70</v>
      </c>
      <c r="N7">
        <v>0</v>
      </c>
      <c r="O7" s="15">
        <v>41101</v>
      </c>
      <c r="Q7">
        <f t="shared" si="0"/>
        <v>8</v>
      </c>
      <c r="S7" s="1" t="s">
        <v>86</v>
      </c>
    </row>
    <row r="8" spans="1:20">
      <c r="C8" t="s">
        <v>84</v>
      </c>
      <c r="F8" s="5">
        <v>12.5</v>
      </c>
      <c r="G8" s="13" t="s">
        <v>107</v>
      </c>
      <c r="J8" s="15">
        <v>41110</v>
      </c>
      <c r="K8" s="13" t="s">
        <v>59</v>
      </c>
      <c r="L8" s="13" t="s">
        <v>60</v>
      </c>
      <c r="N8">
        <v>0</v>
      </c>
      <c r="O8" s="15">
        <v>41110</v>
      </c>
      <c r="Q8">
        <f t="shared" si="0"/>
        <v>9</v>
      </c>
      <c r="S8" s="1" t="s">
        <v>13</v>
      </c>
    </row>
    <row r="9" spans="1:20">
      <c r="B9" t="s">
        <v>108</v>
      </c>
      <c r="E9">
        <f>F12+F13</f>
        <v>2.294</v>
      </c>
      <c r="F9" s="5">
        <v>2.5</v>
      </c>
      <c r="G9" s="13" t="s">
        <v>44</v>
      </c>
      <c r="H9" t="s">
        <v>4</v>
      </c>
      <c r="J9" s="15">
        <v>41088</v>
      </c>
      <c r="K9" s="13" t="s">
        <v>75</v>
      </c>
      <c r="L9" s="13" t="s">
        <v>77</v>
      </c>
      <c r="N9" s="15">
        <v>41105</v>
      </c>
      <c r="O9" s="15">
        <v>41122</v>
      </c>
      <c r="Q9">
        <f t="shared" si="0"/>
        <v>10</v>
      </c>
      <c r="R9" t="s">
        <v>85</v>
      </c>
    </row>
    <row r="10" spans="1:20">
      <c r="B10" t="s">
        <v>108</v>
      </c>
      <c r="F10" s="5">
        <v>2</v>
      </c>
      <c r="G10" s="13" t="s">
        <v>44</v>
      </c>
      <c r="H10" t="s">
        <v>4</v>
      </c>
      <c r="J10" s="15">
        <v>41089</v>
      </c>
      <c r="K10" s="13" t="s">
        <v>75</v>
      </c>
      <c r="L10" s="13" t="s">
        <v>77</v>
      </c>
      <c r="N10" s="15">
        <v>41105</v>
      </c>
      <c r="O10" s="15">
        <v>41122</v>
      </c>
      <c r="Q10">
        <f t="shared" si="0"/>
        <v>11</v>
      </c>
      <c r="S10" t="s">
        <v>16</v>
      </c>
    </row>
    <row r="11" spans="1:20">
      <c r="C11" t="s">
        <v>108</v>
      </c>
      <c r="F11" s="5">
        <v>0.5</v>
      </c>
      <c r="G11" s="13" t="s">
        <v>44</v>
      </c>
      <c r="H11" t="s">
        <v>4</v>
      </c>
      <c r="J11" s="15">
        <v>41089</v>
      </c>
      <c r="K11" s="13" t="s">
        <v>75</v>
      </c>
      <c r="L11" s="13" t="s">
        <v>77</v>
      </c>
      <c r="N11" s="15">
        <v>41105</v>
      </c>
      <c r="O11" s="15">
        <v>41122</v>
      </c>
      <c r="Q11">
        <f t="shared" si="0"/>
        <v>12</v>
      </c>
      <c r="S11" t="s">
        <v>17</v>
      </c>
    </row>
    <row r="12" spans="1:20">
      <c r="B12" t="s">
        <v>108</v>
      </c>
      <c r="F12" s="5">
        <v>2.0840000000000001</v>
      </c>
      <c r="G12" s="13" t="s">
        <v>44</v>
      </c>
      <c r="J12" s="15">
        <v>41101</v>
      </c>
      <c r="K12" s="13" t="s">
        <v>69</v>
      </c>
      <c r="L12" s="13" t="s">
        <v>70</v>
      </c>
      <c r="N12">
        <v>0</v>
      </c>
      <c r="O12" s="15">
        <v>41101</v>
      </c>
      <c r="Q12">
        <f t="shared" si="0"/>
        <v>13</v>
      </c>
      <c r="S12" s="1" t="s">
        <v>26</v>
      </c>
    </row>
    <row r="13" spans="1:20">
      <c r="C13" t="s">
        <v>108</v>
      </c>
      <c r="F13" s="5">
        <v>0.21</v>
      </c>
      <c r="G13" s="13" t="s">
        <v>44</v>
      </c>
      <c r="H13" t="s">
        <v>4</v>
      </c>
      <c r="J13" s="15">
        <v>41110</v>
      </c>
      <c r="K13" s="13" t="s">
        <v>59</v>
      </c>
      <c r="L13" s="13" t="s">
        <v>60</v>
      </c>
      <c r="N13">
        <v>0</v>
      </c>
      <c r="O13" s="15">
        <v>41110</v>
      </c>
      <c r="Q13">
        <f t="shared" si="0"/>
        <v>14</v>
      </c>
      <c r="S13" s="1" t="s">
        <v>18</v>
      </c>
    </row>
    <row r="14" spans="1:20">
      <c r="B14" t="s">
        <v>84</v>
      </c>
      <c r="F14" s="5" t="s">
        <v>56</v>
      </c>
      <c r="G14" s="13" t="s">
        <v>55</v>
      </c>
      <c r="J14" s="15">
        <v>41119</v>
      </c>
      <c r="K14" s="13" t="s">
        <v>71</v>
      </c>
      <c r="L14" s="13" t="s">
        <v>72</v>
      </c>
      <c r="N14">
        <v>0</v>
      </c>
      <c r="O14" s="15">
        <v>41136</v>
      </c>
      <c r="Q14">
        <f t="shared" si="0"/>
        <v>15</v>
      </c>
      <c r="R14" s="1" t="s">
        <v>36</v>
      </c>
      <c r="S14" s="1"/>
    </row>
    <row r="15" spans="1:20">
      <c r="C15" t="s">
        <v>84</v>
      </c>
      <c r="F15" s="5" t="s">
        <v>54</v>
      </c>
      <c r="G15" s="13" t="s">
        <v>55</v>
      </c>
      <c r="J15" s="15">
        <v>41106</v>
      </c>
      <c r="K15" s="13" t="s">
        <v>59</v>
      </c>
      <c r="L15" s="13" t="s">
        <v>60</v>
      </c>
      <c r="N15">
        <v>0</v>
      </c>
      <c r="O15" s="15">
        <v>41136</v>
      </c>
      <c r="Q15">
        <f t="shared" si="0"/>
        <v>16</v>
      </c>
      <c r="R15" s="1" t="s">
        <v>37</v>
      </c>
    </row>
    <row r="16" spans="1:20">
      <c r="E16">
        <f>230+F17+F18</f>
        <v>1244</v>
      </c>
      <c r="F16" s="5">
        <v>1500</v>
      </c>
      <c r="G16" s="13" t="s">
        <v>45</v>
      </c>
      <c r="J16" s="15">
        <v>41075</v>
      </c>
      <c r="K16" s="13" t="s">
        <v>78</v>
      </c>
      <c r="L16" s="13" t="s">
        <v>76</v>
      </c>
      <c r="N16" s="15">
        <v>41075</v>
      </c>
      <c r="O16" s="15">
        <v>41105</v>
      </c>
      <c r="Q16">
        <f t="shared" si="0"/>
        <v>17</v>
      </c>
      <c r="R16" t="s">
        <v>41</v>
      </c>
      <c r="T16" s="1"/>
    </row>
    <row r="17" spans="2:21">
      <c r="F17" s="5">
        <v>150</v>
      </c>
      <c r="G17" s="13" t="s">
        <v>45</v>
      </c>
      <c r="J17" s="15">
        <v>41103</v>
      </c>
      <c r="K17" s="13" t="s">
        <v>78</v>
      </c>
      <c r="L17" s="13" t="s">
        <v>76</v>
      </c>
      <c r="N17" s="15"/>
      <c r="O17" s="15">
        <v>41105</v>
      </c>
      <c r="Q17">
        <f t="shared" si="0"/>
        <v>18</v>
      </c>
      <c r="S17" t="s">
        <v>42</v>
      </c>
      <c r="U17" s="1"/>
    </row>
    <row r="18" spans="2:21">
      <c r="B18" t="s">
        <v>84</v>
      </c>
      <c r="F18" s="5">
        <v>864</v>
      </c>
      <c r="G18" s="13" t="s">
        <v>45</v>
      </c>
      <c r="H18" s="5"/>
      <c r="J18" s="16">
        <v>41109</v>
      </c>
      <c r="K18" s="13" t="s">
        <v>67</v>
      </c>
      <c r="L18" s="13" t="s">
        <v>68</v>
      </c>
      <c r="N18" s="16">
        <v>41095</v>
      </c>
      <c r="O18" s="16">
        <v>41108</v>
      </c>
      <c r="Q18">
        <f t="shared" si="0"/>
        <v>19</v>
      </c>
      <c r="S18" s="1" t="s">
        <v>19</v>
      </c>
      <c r="U18" s="1"/>
    </row>
    <row r="19" spans="2:21">
      <c r="C19" t="s">
        <v>84</v>
      </c>
      <c r="F19" s="5" t="s">
        <v>53</v>
      </c>
      <c r="G19" s="13" t="s">
        <v>45</v>
      </c>
      <c r="H19" s="5"/>
      <c r="J19" s="16">
        <v>41112</v>
      </c>
      <c r="K19" s="13" t="s">
        <v>59</v>
      </c>
      <c r="L19" s="13" t="s">
        <v>60</v>
      </c>
      <c r="N19" s="16">
        <v>41105</v>
      </c>
      <c r="O19" s="16">
        <v>41110</v>
      </c>
      <c r="Q19">
        <f t="shared" si="0"/>
        <v>20</v>
      </c>
      <c r="S19" s="1" t="s">
        <v>35</v>
      </c>
    </row>
    <row r="21" spans="2:21">
      <c r="U21" s="1"/>
    </row>
    <row r="25" spans="2:21" s="18" customFormat="1" ht="16">
      <c r="B25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9298-1F66-4195-83E6-AEBA8CDECBFB}">
  <dimension ref="A1:U25"/>
  <sheetViews>
    <sheetView workbookViewId="0">
      <pane xSplit="18980" topLeftCell="Q1"/>
      <selection activeCell="E35" sqref="E35"/>
      <selection pane="topRight" activeCell="Q19" sqref="Q19"/>
    </sheetView>
  </sheetViews>
  <sheetFormatPr baseColWidth="10" defaultColWidth="8.83203125" defaultRowHeight="15"/>
  <cols>
    <col min="1" max="1" width="21.33203125" bestFit="1" customWidth="1"/>
    <col min="2" max="2" width="14.33203125" style="6" bestFit="1" customWidth="1"/>
    <col min="3" max="3" width="14.33203125" bestFit="1" customWidth="1"/>
    <col min="4" max="4" width="1.6640625" style="7" customWidth="1"/>
    <col min="5" max="5" width="18.5" customWidth="1"/>
    <col min="6" max="6" width="28.5" style="5" customWidth="1"/>
    <col min="7" max="7" width="9.1640625" style="13"/>
    <col min="8" max="8" width="9.6640625" bestFit="1" customWidth="1"/>
    <col min="9" max="9" width="1.6640625" style="7" customWidth="1"/>
    <col min="10" max="10" width="12.5" bestFit="1" customWidth="1"/>
    <col min="11" max="11" width="15.1640625" bestFit="1" customWidth="1"/>
    <col min="12" max="12" width="15.1640625" customWidth="1"/>
    <col min="13" max="13" width="1.5" style="7" customWidth="1"/>
    <col min="14" max="14" width="19.83203125" bestFit="1" customWidth="1"/>
    <col min="15" max="15" width="15.5" bestFit="1" customWidth="1"/>
    <col min="16" max="16" width="1.6640625" style="7" customWidth="1"/>
    <col min="17" max="17" width="6.33203125" bestFit="1" customWidth="1"/>
  </cols>
  <sheetData>
    <row r="1" spans="1:19" ht="24">
      <c r="A1" s="11" t="s">
        <v>90</v>
      </c>
      <c r="B1"/>
      <c r="D1"/>
    </row>
    <row r="2" spans="1:19">
      <c r="B2"/>
      <c r="D2"/>
    </row>
    <row r="3" spans="1:19" ht="16" thickBot="1">
      <c r="A3" s="2" t="s">
        <v>8</v>
      </c>
      <c r="B3" s="12" t="s">
        <v>9</v>
      </c>
      <c r="C3" s="2" t="s">
        <v>10</v>
      </c>
      <c r="D3" s="8"/>
      <c r="E3" s="4" t="s">
        <v>82</v>
      </c>
      <c r="F3" s="9" t="s">
        <v>83</v>
      </c>
      <c r="G3" s="14" t="s">
        <v>0</v>
      </c>
      <c r="H3" s="4" t="s">
        <v>3</v>
      </c>
      <c r="I3" s="10"/>
      <c r="J3" s="4" t="s">
        <v>1</v>
      </c>
      <c r="K3" s="4" t="s">
        <v>2</v>
      </c>
      <c r="L3" s="4" t="s">
        <v>7</v>
      </c>
      <c r="M3" s="10"/>
      <c r="N3" s="4" t="s">
        <v>5</v>
      </c>
      <c r="O3" s="4" t="s">
        <v>6</v>
      </c>
      <c r="P3" s="10"/>
      <c r="Q3" s="4" t="s">
        <v>12</v>
      </c>
      <c r="R3" s="3" t="s">
        <v>28</v>
      </c>
    </row>
    <row r="4" spans="1:19" ht="16" thickTop="1">
      <c r="Q4">
        <v>5</v>
      </c>
      <c r="R4" t="s">
        <v>22</v>
      </c>
    </row>
    <row r="5" spans="1:19">
      <c r="C5" t="s">
        <v>108</v>
      </c>
      <c r="F5" s="5">
        <v>24</v>
      </c>
      <c r="G5" s="13" t="s">
        <v>40</v>
      </c>
      <c r="J5" s="15">
        <v>41101</v>
      </c>
      <c r="K5" s="13" t="s">
        <v>63</v>
      </c>
      <c r="L5" s="13" t="s">
        <v>64</v>
      </c>
      <c r="O5" s="15">
        <v>41102</v>
      </c>
      <c r="Q5">
        <f>Q4+1</f>
        <v>6</v>
      </c>
      <c r="S5" t="s">
        <v>33</v>
      </c>
    </row>
    <row r="6" spans="1:19">
      <c r="C6" t="s">
        <v>108</v>
      </c>
      <c r="F6" s="5">
        <v>1.7</v>
      </c>
      <c r="G6" s="13" t="s">
        <v>47</v>
      </c>
      <c r="J6" s="15">
        <v>41101</v>
      </c>
      <c r="K6" s="13" t="s">
        <v>63</v>
      </c>
      <c r="L6" s="13" t="s">
        <v>64</v>
      </c>
      <c r="O6" s="15">
        <v>41102</v>
      </c>
      <c r="Q6">
        <f t="shared" ref="Q6:Q21" si="0">Q5+1</f>
        <v>7</v>
      </c>
      <c r="S6" t="s">
        <v>32</v>
      </c>
    </row>
    <row r="7" spans="1:19">
      <c r="C7" t="s">
        <v>108</v>
      </c>
      <c r="F7" s="5">
        <v>30</v>
      </c>
      <c r="G7" s="13" t="s">
        <v>46</v>
      </c>
      <c r="J7" s="15">
        <v>41101</v>
      </c>
      <c r="K7" s="13" t="s">
        <v>63</v>
      </c>
      <c r="L7" s="13" t="s">
        <v>64</v>
      </c>
      <c r="O7" s="15">
        <v>41102</v>
      </c>
      <c r="Q7">
        <f t="shared" si="0"/>
        <v>8</v>
      </c>
      <c r="S7" t="s">
        <v>23</v>
      </c>
    </row>
    <row r="8" spans="1:19">
      <c r="C8" t="s">
        <v>84</v>
      </c>
      <c r="F8" s="5" t="s">
        <v>52</v>
      </c>
      <c r="G8" s="13" t="s">
        <v>47</v>
      </c>
      <c r="H8" s="13" t="s">
        <v>4</v>
      </c>
      <c r="J8" s="16">
        <v>41102</v>
      </c>
      <c r="K8" s="13" t="s">
        <v>57</v>
      </c>
      <c r="L8" s="13" t="s">
        <v>58</v>
      </c>
      <c r="N8" s="16">
        <v>41091</v>
      </c>
      <c r="O8" s="16">
        <v>41102</v>
      </c>
      <c r="Q8">
        <f>Q7+1</f>
        <v>9</v>
      </c>
      <c r="S8" s="1" t="s">
        <v>31</v>
      </c>
    </row>
    <row r="9" spans="1:19">
      <c r="C9" t="s">
        <v>84</v>
      </c>
      <c r="F9" s="5">
        <v>24</v>
      </c>
      <c r="G9" s="13" t="s">
        <v>40</v>
      </c>
      <c r="H9" s="13"/>
      <c r="J9" s="16">
        <v>41102</v>
      </c>
      <c r="K9" s="13" t="s">
        <v>57</v>
      </c>
      <c r="L9" s="13" t="s">
        <v>58</v>
      </c>
      <c r="N9" s="16">
        <v>41091</v>
      </c>
      <c r="O9" s="16">
        <v>41102</v>
      </c>
      <c r="Q9">
        <f t="shared" si="0"/>
        <v>10</v>
      </c>
      <c r="S9" s="1" t="s">
        <v>34</v>
      </c>
    </row>
    <row r="10" spans="1:19">
      <c r="C10" t="s">
        <v>108</v>
      </c>
      <c r="F10" s="5">
        <v>24</v>
      </c>
      <c r="G10" s="13" t="s">
        <v>48</v>
      </c>
      <c r="H10" s="13" t="s">
        <v>4</v>
      </c>
      <c r="J10" s="15">
        <v>41088</v>
      </c>
      <c r="K10" s="13" t="s">
        <v>65</v>
      </c>
      <c r="L10" s="13" t="s">
        <v>66</v>
      </c>
      <c r="N10" s="15">
        <v>41090</v>
      </c>
      <c r="O10" s="15">
        <v>41105</v>
      </c>
      <c r="Q10">
        <f t="shared" si="0"/>
        <v>11</v>
      </c>
      <c r="R10" t="s">
        <v>27</v>
      </c>
    </row>
    <row r="11" spans="1:19">
      <c r="A11" t="s">
        <v>108</v>
      </c>
      <c r="F11">
        <v>216</v>
      </c>
      <c r="G11" s="13" t="s">
        <v>45</v>
      </c>
      <c r="H11" s="13"/>
      <c r="J11" s="15">
        <v>41109</v>
      </c>
      <c r="K11" s="13" t="s">
        <v>67</v>
      </c>
      <c r="L11" s="13" t="s">
        <v>68</v>
      </c>
      <c r="N11" s="15">
        <v>41095</v>
      </c>
      <c r="O11" s="15">
        <v>41108</v>
      </c>
      <c r="Q11">
        <f t="shared" si="0"/>
        <v>12</v>
      </c>
      <c r="R11" t="s">
        <v>19</v>
      </c>
    </row>
    <row r="12" spans="1:19">
      <c r="H12" s="13"/>
      <c r="K12" s="13"/>
      <c r="L12" s="13"/>
      <c r="Q12">
        <f t="shared" si="0"/>
        <v>13</v>
      </c>
      <c r="R12" t="s">
        <v>20</v>
      </c>
    </row>
    <row r="13" spans="1:19">
      <c r="A13" t="s">
        <v>108</v>
      </c>
      <c r="F13" s="5">
        <v>62.5</v>
      </c>
      <c r="G13" s="13" t="s">
        <v>51</v>
      </c>
      <c r="H13" s="13"/>
      <c r="J13" s="15">
        <v>41101</v>
      </c>
      <c r="K13" s="13" t="s">
        <v>69</v>
      </c>
      <c r="L13" s="13" t="s">
        <v>70</v>
      </c>
      <c r="N13" s="15">
        <v>41095</v>
      </c>
      <c r="O13" s="15">
        <v>41101</v>
      </c>
      <c r="Q13">
        <f t="shared" si="0"/>
        <v>14</v>
      </c>
      <c r="S13" t="s">
        <v>21</v>
      </c>
    </row>
    <row r="14" spans="1:19">
      <c r="A14" t="s">
        <v>108</v>
      </c>
      <c r="F14" s="5">
        <v>50</v>
      </c>
      <c r="G14" s="13" t="s">
        <v>51</v>
      </c>
      <c r="H14" s="13"/>
      <c r="J14" s="15">
        <v>41101</v>
      </c>
      <c r="K14" s="13" t="s">
        <v>69</v>
      </c>
      <c r="L14" s="13" t="s">
        <v>70</v>
      </c>
      <c r="N14" s="15">
        <v>41095</v>
      </c>
      <c r="O14" s="15">
        <v>41101</v>
      </c>
      <c r="Q14">
        <f t="shared" si="0"/>
        <v>15</v>
      </c>
      <c r="S14" t="s">
        <v>50</v>
      </c>
    </row>
    <row r="15" spans="1:19">
      <c r="A15" t="s">
        <v>84</v>
      </c>
      <c r="F15" s="5">
        <v>10</v>
      </c>
      <c r="G15" s="13" t="s">
        <v>107</v>
      </c>
      <c r="H15" s="13" t="s">
        <v>4</v>
      </c>
      <c r="J15" s="16">
        <v>41086</v>
      </c>
      <c r="K15" s="13" t="s">
        <v>74</v>
      </c>
      <c r="L15" s="13" t="s">
        <v>73</v>
      </c>
      <c r="N15" s="16">
        <v>41105</v>
      </c>
      <c r="O15" s="16">
        <v>41122</v>
      </c>
      <c r="Q15">
        <f t="shared" si="0"/>
        <v>16</v>
      </c>
      <c r="S15" s="1" t="s">
        <v>11</v>
      </c>
    </row>
    <row r="16" spans="1:19" ht="17">
      <c r="A16" t="s">
        <v>108</v>
      </c>
      <c r="F16" s="5">
        <f>(3.14*25*25)*62.5*0.0000648</f>
        <v>7.9481250000000001</v>
      </c>
      <c r="G16" s="13" t="s">
        <v>43</v>
      </c>
      <c r="H16" s="13"/>
      <c r="J16" s="15">
        <v>41101</v>
      </c>
      <c r="K16" s="13" t="s">
        <v>69</v>
      </c>
      <c r="L16" s="13" t="s">
        <v>70</v>
      </c>
      <c r="O16" s="15">
        <v>41101</v>
      </c>
      <c r="Q16">
        <f t="shared" si="0"/>
        <v>17</v>
      </c>
      <c r="S16" t="s">
        <v>86</v>
      </c>
    </row>
    <row r="17" spans="1:21">
      <c r="H17" s="13"/>
      <c r="K17" s="13"/>
      <c r="L17" s="13"/>
      <c r="Q17">
        <f t="shared" si="0"/>
        <v>18</v>
      </c>
      <c r="R17" t="s">
        <v>24</v>
      </c>
      <c r="T17" s="1"/>
    </row>
    <row r="18" spans="1:21">
      <c r="A18" t="s">
        <v>84</v>
      </c>
      <c r="F18" s="5">
        <v>2</v>
      </c>
      <c r="G18" s="13" t="s">
        <v>44</v>
      </c>
      <c r="H18" s="13" t="s">
        <v>4</v>
      </c>
      <c r="J18" s="16">
        <v>41089</v>
      </c>
      <c r="K18" s="13" t="s">
        <v>75</v>
      </c>
      <c r="L18" s="13" t="s">
        <v>77</v>
      </c>
      <c r="N18" s="16">
        <v>41105</v>
      </c>
      <c r="O18" s="16">
        <v>41122</v>
      </c>
      <c r="Q18">
        <f t="shared" si="0"/>
        <v>19</v>
      </c>
      <c r="S18" s="1" t="s">
        <v>16</v>
      </c>
      <c r="U18" s="1"/>
    </row>
    <row r="19" spans="1:21">
      <c r="A19" t="s">
        <v>108</v>
      </c>
      <c r="F19" s="5">
        <v>521</v>
      </c>
      <c r="G19" s="13" t="s">
        <v>49</v>
      </c>
      <c r="H19" s="13"/>
      <c r="J19" s="15">
        <v>41101</v>
      </c>
      <c r="K19" s="13" t="s">
        <v>69</v>
      </c>
      <c r="L19" s="13" t="s">
        <v>70</v>
      </c>
      <c r="N19" s="15">
        <v>41095</v>
      </c>
      <c r="O19" s="15">
        <v>41101</v>
      </c>
      <c r="Q19">
        <f t="shared" si="0"/>
        <v>20</v>
      </c>
      <c r="S19" t="s">
        <v>25</v>
      </c>
      <c r="U19" s="1"/>
    </row>
    <row r="20" spans="1:21">
      <c r="A20" t="s">
        <v>108</v>
      </c>
      <c r="F20" s="5">
        <f>F19*4/1000</f>
        <v>2.0840000000000001</v>
      </c>
      <c r="G20" s="13" t="s">
        <v>44</v>
      </c>
      <c r="H20" s="13"/>
      <c r="J20" s="15">
        <v>41101</v>
      </c>
      <c r="K20" s="13" t="s">
        <v>69</v>
      </c>
      <c r="L20" s="13" t="s">
        <v>70</v>
      </c>
      <c r="O20" s="15">
        <v>41101</v>
      </c>
      <c r="Q20">
        <f t="shared" si="0"/>
        <v>21</v>
      </c>
      <c r="S20" t="s">
        <v>26</v>
      </c>
    </row>
    <row r="21" spans="1:21">
      <c r="A21" t="s">
        <v>108</v>
      </c>
      <c r="F21" s="5" t="s">
        <v>56</v>
      </c>
      <c r="G21" s="13" t="s">
        <v>55</v>
      </c>
      <c r="H21" s="13"/>
      <c r="J21" s="15">
        <v>41119</v>
      </c>
      <c r="K21" s="13" t="s">
        <v>71</v>
      </c>
      <c r="L21" s="13" t="s">
        <v>72</v>
      </c>
      <c r="O21" s="15">
        <v>41136</v>
      </c>
      <c r="Q21">
        <f t="shared" si="0"/>
        <v>22</v>
      </c>
      <c r="R21" t="s">
        <v>36</v>
      </c>
      <c r="T21" s="1"/>
    </row>
    <row r="22" spans="1:21">
      <c r="H22" s="13"/>
      <c r="U22" s="1"/>
    </row>
    <row r="25" spans="1:21" s="18" customFormat="1" ht="16">
      <c r="B25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A225-5147-4BA1-BBF3-33E58C7E7CA4}">
  <dimension ref="A1:U25"/>
  <sheetViews>
    <sheetView workbookViewId="0">
      <pane xSplit="18780" topLeftCell="Q1"/>
      <selection activeCell="F35" sqref="F35"/>
      <selection pane="topRight" activeCell="S1" sqref="S1"/>
    </sheetView>
  </sheetViews>
  <sheetFormatPr baseColWidth="10" defaultColWidth="8.83203125" defaultRowHeight="15"/>
  <cols>
    <col min="1" max="1" width="21.33203125" bestFit="1" customWidth="1"/>
    <col min="2" max="2" width="14.33203125" bestFit="1" customWidth="1"/>
    <col min="3" max="3" width="14.33203125" style="6" bestFit="1" customWidth="1"/>
    <col min="4" max="4" width="1.6640625" style="7" customWidth="1"/>
    <col min="5" max="5" width="18.5" customWidth="1"/>
    <col min="6" max="6" width="35.6640625" style="5" bestFit="1" customWidth="1"/>
    <col min="7" max="7" width="9.1640625" style="13"/>
    <col min="8" max="8" width="9.6640625" style="13" bestFit="1" customWidth="1"/>
    <col min="9" max="9" width="1.6640625" style="7" customWidth="1"/>
    <col min="10" max="10" width="12.5" bestFit="1" customWidth="1"/>
    <col min="11" max="11" width="15.1640625" style="13" bestFit="1" customWidth="1"/>
    <col min="12" max="12" width="15.1640625" style="13" customWidth="1"/>
    <col min="13" max="13" width="1.5" style="7" customWidth="1"/>
    <col min="14" max="14" width="19.83203125" bestFit="1" customWidth="1"/>
    <col min="15" max="15" width="15.5" bestFit="1" customWidth="1"/>
    <col min="16" max="16" width="1.6640625" style="7" customWidth="1"/>
    <col min="17" max="17" width="6.33203125" bestFit="1" customWidth="1"/>
  </cols>
  <sheetData>
    <row r="1" spans="1:19" ht="24">
      <c r="A1" s="11" t="s">
        <v>91</v>
      </c>
      <c r="C1"/>
      <c r="D1"/>
    </row>
    <row r="2" spans="1:19">
      <c r="C2"/>
      <c r="D2"/>
    </row>
    <row r="3" spans="1:19" ht="16" thickBot="1">
      <c r="A3" s="2" t="s">
        <v>8</v>
      </c>
      <c r="B3" s="2" t="s">
        <v>9</v>
      </c>
      <c r="C3" s="12" t="s">
        <v>10</v>
      </c>
      <c r="D3" s="8"/>
      <c r="E3" s="4" t="s">
        <v>82</v>
      </c>
      <c r="F3" s="9" t="s">
        <v>83</v>
      </c>
      <c r="G3" s="14" t="s">
        <v>0</v>
      </c>
      <c r="H3" s="14" t="s">
        <v>3</v>
      </c>
      <c r="I3" s="10"/>
      <c r="J3" s="4" t="s">
        <v>1</v>
      </c>
      <c r="K3" s="14" t="s">
        <v>2</v>
      </c>
      <c r="L3" s="14" t="s">
        <v>7</v>
      </c>
      <c r="M3" s="10"/>
      <c r="N3" s="4" t="s">
        <v>5</v>
      </c>
      <c r="O3" s="4" t="s">
        <v>6</v>
      </c>
      <c r="P3" s="10"/>
      <c r="Q3" s="4" t="s">
        <v>12</v>
      </c>
      <c r="R3" s="3" t="s">
        <v>29</v>
      </c>
    </row>
    <row r="4" spans="1:19" ht="16" thickTop="1">
      <c r="B4" t="s">
        <v>108</v>
      </c>
      <c r="F4" s="5" t="s">
        <v>39</v>
      </c>
      <c r="G4" s="13" t="s">
        <v>40</v>
      </c>
      <c r="J4" s="15">
        <v>41102</v>
      </c>
      <c r="K4" s="13" t="s">
        <v>57</v>
      </c>
      <c r="L4" s="13" t="s">
        <v>58</v>
      </c>
      <c r="N4" s="15">
        <v>41091</v>
      </c>
      <c r="O4" s="15">
        <v>41102</v>
      </c>
      <c r="Q4">
        <v>5</v>
      </c>
      <c r="R4" t="s">
        <v>30</v>
      </c>
    </row>
    <row r="5" spans="1:19">
      <c r="B5" t="s">
        <v>84</v>
      </c>
      <c r="F5" s="5">
        <v>24</v>
      </c>
      <c r="G5" s="13" t="s">
        <v>40</v>
      </c>
      <c r="J5" s="16">
        <v>41101</v>
      </c>
      <c r="K5" s="13" t="s">
        <v>63</v>
      </c>
      <c r="L5" s="13" t="s">
        <v>64</v>
      </c>
      <c r="N5" s="5">
        <v>0</v>
      </c>
      <c r="O5" s="16">
        <v>41102</v>
      </c>
      <c r="Q5">
        <f>Q4+1</f>
        <v>6</v>
      </c>
      <c r="R5" s="1" t="s">
        <v>33</v>
      </c>
    </row>
    <row r="6" spans="1:19">
      <c r="B6" t="s">
        <v>84</v>
      </c>
      <c r="F6" s="5">
        <v>1.7</v>
      </c>
      <c r="G6" s="13" t="s">
        <v>47</v>
      </c>
      <c r="J6" s="16">
        <v>41101</v>
      </c>
      <c r="K6" s="13" t="s">
        <v>63</v>
      </c>
      <c r="L6" s="13" t="s">
        <v>64</v>
      </c>
      <c r="N6" s="5">
        <v>0</v>
      </c>
      <c r="O6" s="16">
        <v>41102</v>
      </c>
      <c r="Q6">
        <f t="shared" ref="Q6:Q17" si="0">Q5+1</f>
        <v>7</v>
      </c>
      <c r="R6" s="1" t="s">
        <v>32</v>
      </c>
    </row>
    <row r="7" spans="1:19">
      <c r="B7" t="s">
        <v>84</v>
      </c>
      <c r="F7" s="5">
        <v>30</v>
      </c>
      <c r="G7" s="13" t="s">
        <v>46</v>
      </c>
      <c r="J7" s="16">
        <v>41101</v>
      </c>
      <c r="K7" s="13" t="s">
        <v>63</v>
      </c>
      <c r="L7" s="13" t="s">
        <v>64</v>
      </c>
      <c r="N7" s="5">
        <v>0</v>
      </c>
      <c r="O7" s="16">
        <v>41102</v>
      </c>
      <c r="Q7">
        <f t="shared" si="0"/>
        <v>8</v>
      </c>
      <c r="R7" s="1" t="s">
        <v>23</v>
      </c>
    </row>
    <row r="8" spans="1:19">
      <c r="B8" t="s">
        <v>108</v>
      </c>
      <c r="F8" s="5" t="s">
        <v>52</v>
      </c>
      <c r="G8" s="13" t="s">
        <v>47</v>
      </c>
      <c r="H8" s="13" t="s">
        <v>4</v>
      </c>
      <c r="J8" s="15">
        <v>41102</v>
      </c>
      <c r="K8" s="13" t="s">
        <v>57</v>
      </c>
      <c r="L8" s="13" t="s">
        <v>58</v>
      </c>
      <c r="N8" s="15">
        <v>41091</v>
      </c>
      <c r="O8" s="15">
        <v>41102</v>
      </c>
      <c r="Q8">
        <f t="shared" si="0"/>
        <v>9</v>
      </c>
      <c r="R8" t="s">
        <v>31</v>
      </c>
    </row>
    <row r="9" spans="1:19">
      <c r="B9" t="s">
        <v>108</v>
      </c>
      <c r="F9" s="5">
        <v>24</v>
      </c>
      <c r="G9" s="13" t="s">
        <v>40</v>
      </c>
      <c r="J9" s="15">
        <v>41102</v>
      </c>
      <c r="K9" s="13" t="s">
        <v>57</v>
      </c>
      <c r="L9" s="13" t="s">
        <v>58</v>
      </c>
      <c r="N9" s="15">
        <v>41091</v>
      </c>
      <c r="O9" s="15">
        <v>41102</v>
      </c>
      <c r="Q9">
        <f t="shared" si="0"/>
        <v>10</v>
      </c>
      <c r="R9" t="s">
        <v>34</v>
      </c>
    </row>
    <row r="10" spans="1:19">
      <c r="B10" t="s">
        <v>84</v>
      </c>
      <c r="F10" s="5">
        <v>24</v>
      </c>
      <c r="G10" s="13" t="s">
        <v>48</v>
      </c>
      <c r="H10" s="13" t="s">
        <v>4</v>
      </c>
      <c r="J10" s="16">
        <v>41088</v>
      </c>
      <c r="K10" s="13" t="s">
        <v>65</v>
      </c>
      <c r="L10" s="13" t="s">
        <v>66</v>
      </c>
      <c r="N10" s="16">
        <v>41090</v>
      </c>
      <c r="O10" s="16">
        <v>41105</v>
      </c>
      <c r="Q10">
        <f t="shared" si="0"/>
        <v>11</v>
      </c>
      <c r="R10" s="1" t="s">
        <v>27</v>
      </c>
    </row>
    <row r="11" spans="1:19">
      <c r="A11" t="s">
        <v>108</v>
      </c>
      <c r="F11" s="5" t="s">
        <v>53</v>
      </c>
      <c r="G11" s="13" t="s">
        <v>45</v>
      </c>
      <c r="J11" s="15">
        <v>41112</v>
      </c>
      <c r="K11" s="13" t="s">
        <v>59</v>
      </c>
      <c r="L11" s="13" t="s">
        <v>60</v>
      </c>
      <c r="N11" s="15">
        <v>41105</v>
      </c>
      <c r="O11" s="15">
        <v>41110</v>
      </c>
      <c r="Q11">
        <f t="shared" si="0"/>
        <v>12</v>
      </c>
      <c r="R11" t="s">
        <v>35</v>
      </c>
    </row>
    <row r="12" spans="1:19">
      <c r="A12" t="s">
        <v>108</v>
      </c>
      <c r="F12" s="5" t="s">
        <v>54</v>
      </c>
      <c r="G12" s="13" t="s">
        <v>55</v>
      </c>
      <c r="J12" s="15">
        <v>41112</v>
      </c>
      <c r="K12" s="13" t="s">
        <v>61</v>
      </c>
      <c r="L12" s="13" t="s">
        <v>62</v>
      </c>
      <c r="O12" s="15">
        <v>41136</v>
      </c>
      <c r="Q12">
        <f t="shared" si="0"/>
        <v>13</v>
      </c>
      <c r="R12" t="s">
        <v>37</v>
      </c>
    </row>
    <row r="13" spans="1:19">
      <c r="A13" t="s">
        <v>108</v>
      </c>
      <c r="F13" s="5" t="s">
        <v>79</v>
      </c>
      <c r="G13" s="13" t="s">
        <v>80</v>
      </c>
      <c r="J13" s="15">
        <v>41106</v>
      </c>
      <c r="K13" s="13" t="s">
        <v>59</v>
      </c>
      <c r="L13" s="13" t="s">
        <v>60</v>
      </c>
      <c r="O13" s="15">
        <v>41136</v>
      </c>
      <c r="Q13">
        <f t="shared" si="0"/>
        <v>14</v>
      </c>
      <c r="R13" t="s">
        <v>38</v>
      </c>
    </row>
    <row r="14" spans="1:19">
      <c r="A14" t="s">
        <v>84</v>
      </c>
      <c r="F14" s="5">
        <v>12</v>
      </c>
      <c r="G14" s="13" t="s">
        <v>107</v>
      </c>
      <c r="H14" s="13" t="s">
        <v>4</v>
      </c>
      <c r="J14" s="16">
        <v>41086</v>
      </c>
      <c r="K14" s="13" t="s">
        <v>74</v>
      </c>
      <c r="L14" s="13" t="s">
        <v>73</v>
      </c>
      <c r="N14" s="16">
        <v>41105</v>
      </c>
      <c r="O14" s="16">
        <v>41122</v>
      </c>
      <c r="Q14">
        <f t="shared" si="0"/>
        <v>15</v>
      </c>
      <c r="R14" s="1" t="s">
        <v>14</v>
      </c>
    </row>
    <row r="15" spans="1:19" ht="17">
      <c r="A15" t="s">
        <v>108</v>
      </c>
      <c r="F15" s="5">
        <v>12.5</v>
      </c>
      <c r="G15" s="13" t="s">
        <v>43</v>
      </c>
      <c r="J15" s="15">
        <v>41110</v>
      </c>
      <c r="K15" s="13" t="s">
        <v>59</v>
      </c>
      <c r="L15" s="13" t="s">
        <v>60</v>
      </c>
      <c r="N15" s="15"/>
      <c r="O15" s="15">
        <v>41110</v>
      </c>
      <c r="Q15">
        <f t="shared" si="0"/>
        <v>16</v>
      </c>
      <c r="R15" t="s">
        <v>13</v>
      </c>
    </row>
    <row r="16" spans="1:19">
      <c r="A16" t="s">
        <v>84</v>
      </c>
      <c r="F16" s="5">
        <v>0.5</v>
      </c>
      <c r="G16" s="13" t="s">
        <v>44</v>
      </c>
      <c r="H16" s="13" t="s">
        <v>4</v>
      </c>
      <c r="J16" s="16">
        <v>41089</v>
      </c>
      <c r="K16" s="13" t="s">
        <v>75</v>
      </c>
      <c r="L16" s="13" t="s">
        <v>77</v>
      </c>
      <c r="N16" s="16">
        <v>41105</v>
      </c>
      <c r="O16" s="16">
        <v>41122</v>
      </c>
      <c r="Q16">
        <f t="shared" si="0"/>
        <v>17</v>
      </c>
      <c r="R16" s="1" t="s">
        <v>17</v>
      </c>
      <c r="S16" s="1"/>
    </row>
    <row r="17" spans="1:21">
      <c r="A17" t="s">
        <v>108</v>
      </c>
      <c r="F17" s="5">
        <v>0.21</v>
      </c>
      <c r="G17" s="13" t="s">
        <v>44</v>
      </c>
      <c r="H17" s="13" t="s">
        <v>4</v>
      </c>
      <c r="J17" s="15">
        <v>41110</v>
      </c>
      <c r="K17" s="13" t="s">
        <v>59</v>
      </c>
      <c r="L17" s="13" t="s">
        <v>60</v>
      </c>
      <c r="O17" s="15">
        <v>41110</v>
      </c>
      <c r="Q17">
        <f t="shared" si="0"/>
        <v>18</v>
      </c>
      <c r="R17" t="s">
        <v>18</v>
      </c>
    </row>
    <row r="18" spans="1:21">
      <c r="T18" s="1"/>
    </row>
    <row r="19" spans="1:21">
      <c r="S19" s="1"/>
      <c r="U19" s="1"/>
    </row>
    <row r="20" spans="1:21">
      <c r="U20" s="1"/>
    </row>
    <row r="22" spans="1:21">
      <c r="T22" s="1"/>
    </row>
    <row r="23" spans="1:21">
      <c r="U23" s="1"/>
    </row>
    <row r="25" spans="1:21" s="18" customFormat="1" ht="16">
      <c r="B25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System</vt:lpstr>
      <vt:lpstr>Adv. Sample - Chassis Design</vt:lpstr>
      <vt:lpstr>Adv. Sample - Motor Drive</vt:lpstr>
      <vt:lpstr>Adv. Sample - 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Schneider</dc:creator>
  <cp:lastModifiedBy>David Ancor</cp:lastModifiedBy>
  <dcterms:created xsi:type="dcterms:W3CDTF">2012-02-18T14:38:18Z</dcterms:created>
  <dcterms:modified xsi:type="dcterms:W3CDTF">2026-04-19T21:35:08Z</dcterms:modified>
</cp:coreProperties>
</file>