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6 - Defining Interfaces/6-software-define-interface-LLM-kb/"/>
    </mc:Choice>
  </mc:AlternateContent>
  <xr:revisionPtr revIDLastSave="0" documentId="13_ncr:1_{B54CB06B-8C1D-864E-AB71-A24123A503AA}" xr6:coauthVersionLast="47" xr6:coauthVersionMax="47" xr10:uidLastSave="{00000000-0000-0000-0000-000000000000}"/>
  <bookViews>
    <workbookView xWindow="-36900" yWindow="2020" windowWidth="36260" windowHeight="19740" activeTab="3" xr2:uid="{6B4092FB-20FB-3943-A722-98F12468F5AF}"/>
  </bookViews>
  <sheets>
    <sheet name="Instructions" sheetId="2" r:id="rId1"/>
    <sheet name="Sample - Chassis Design" sheetId="3" r:id="rId2"/>
    <sheet name="Sample - Motor Drive" sheetId="4" r:id="rId3"/>
    <sheet name="Sample - Pow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5" l="1"/>
  <c r="P6" i="5" s="1"/>
  <c r="P7" i="5" s="1"/>
  <c r="P8" i="5" s="1"/>
  <c r="P9" i="5" s="1"/>
  <c r="P10" i="5" s="1"/>
  <c r="P11" i="5" s="1"/>
  <c r="P5" i="4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E15" i="4"/>
  <c r="P5" i="3"/>
  <c r="P6" i="3" s="1"/>
  <c r="P7" i="3" s="1"/>
  <c r="P8" i="3" s="1"/>
  <c r="P9" i="3" s="1"/>
  <c r="P10" i="3" s="1"/>
  <c r="P11" i="3" s="1"/>
</calcChain>
</file>

<file path=xl/sharedStrings.xml><?xml version="1.0" encoding="utf-8"?>
<sst xmlns="http://schemas.openxmlformats.org/spreadsheetml/2006/main" count="193" uniqueCount="91">
  <si>
    <t>Instructions:</t>
  </si>
  <si>
    <t>Interface Matrix Sample</t>
  </si>
  <si>
    <t>Basic Sample</t>
  </si>
  <si>
    <t>Chassis Design Cost</t>
  </si>
  <si>
    <t>Lesslie</t>
  </si>
  <si>
    <t>Xing</t>
  </si>
  <si>
    <t>$</t>
  </si>
  <si>
    <t>Total Cost Allowed</t>
  </si>
  <si>
    <t>Total Weight Allocated to Power subsystem</t>
  </si>
  <si>
    <t>Octavier</t>
  </si>
  <si>
    <t>Hilary</t>
  </si>
  <si>
    <t>X</t>
  </si>
  <si>
    <t>kg</t>
  </si>
  <si>
    <t>Total Weight Allocated to Motors</t>
  </si>
  <si>
    <t>TotalComponent Weight Max</t>
  </si>
  <si>
    <t>Total Volume Allocated to Power subsystem</t>
  </si>
  <si>
    <t>Nero</t>
  </si>
  <si>
    <t>Jin</t>
  </si>
  <si>
    <r>
      <t>in</t>
    </r>
    <r>
      <rPr>
        <vertAlign val="superscript"/>
        <sz val="11"/>
        <color theme="1"/>
        <rFont val="Calibri"/>
        <family val="2"/>
        <scheme val="minor"/>
      </rPr>
      <t>3</t>
    </r>
  </si>
  <si>
    <t>Total Volume Allocated to Motors</t>
  </si>
  <si>
    <t>Total Volume Max</t>
  </si>
  <si>
    <t>Chassis Design</t>
  </si>
  <si>
    <t>Row #</t>
  </si>
  <si>
    <t>Actual Due Date</t>
  </si>
  <si>
    <t>Est. Update Due Date</t>
  </si>
  <si>
    <t>Interface Champ.</t>
  </si>
  <si>
    <t>Last Updated By</t>
  </si>
  <si>
    <t>Last Updated</t>
  </si>
  <si>
    <t>Estimate?</t>
  </si>
  <si>
    <t>Units</t>
  </si>
  <si>
    <t>Value</t>
  </si>
  <si>
    <t>Power</t>
  </si>
  <si>
    <t>Motor Drive</t>
  </si>
  <si>
    <t>Motor Installation Guide</t>
  </si>
  <si>
    <t>Justine</t>
  </si>
  <si>
    <t>Justin</t>
  </si>
  <si>
    <t>.docx</t>
  </si>
  <si>
    <t>MotorGuide  (Sec 1.2)</t>
  </si>
  <si>
    <t>Actual Weight used by Motor drive subsystem</t>
  </si>
  <si>
    <t>Nick</t>
  </si>
  <si>
    <t>Horitz</t>
  </si>
  <si>
    <t>Motors Weight</t>
  </si>
  <si>
    <t>g</t>
  </si>
  <si>
    <t>Motor Weight</t>
  </si>
  <si>
    <t>Motor Dia.</t>
  </si>
  <si>
    <t>mm</t>
  </si>
  <si>
    <t>Motor Length</t>
  </si>
  <si>
    <t>Motor Dimensions</t>
  </si>
  <si>
    <t>Motor Cost</t>
  </si>
  <si>
    <t>Marc</t>
  </si>
  <si>
    <t>Kelsey</t>
  </si>
  <si>
    <t>Maximum Duration Usage</t>
  </si>
  <si>
    <t>Yulia</t>
  </si>
  <si>
    <t>Allison</t>
  </si>
  <si>
    <t>min.</t>
  </si>
  <si>
    <t>Motor power rating</t>
  </si>
  <si>
    <t>Jose</t>
  </si>
  <si>
    <t>Yashoda</t>
  </si>
  <si>
    <t>W</t>
  </si>
  <si>
    <t>Motor Current</t>
  </si>
  <si>
    <t>A</t>
  </si>
  <si>
    <t>Motor Voltage</t>
  </si>
  <si>
    <t>V</t>
  </si>
  <si>
    <t>Power Information</t>
  </si>
  <si>
    <t>Motor Drive Subsystem</t>
  </si>
  <si>
    <t>Actual Weight used by Power subsystem</t>
  </si>
  <si>
    <t>Heidi</t>
  </si>
  <si>
    <t>Susan</t>
  </si>
  <si>
    <t>Actual Volume used by Power subsystem</t>
  </si>
  <si>
    <t>Power Board Dimensions</t>
  </si>
  <si>
    <t>in.</t>
  </si>
  <si>
    <t>12 x 2.5 x 1</t>
  </si>
  <si>
    <t>Power Board Connection Instructions</t>
  </si>
  <si>
    <t>Ahmed</t>
  </si>
  <si>
    <t>Rebecca</t>
  </si>
  <si>
    <t>PowerBoardInstructions (Sec 2.1)</t>
  </si>
  <si>
    <t>Power Board Cost</t>
  </si>
  <si>
    <t xml:space="preserve"> incl. components &amp; shipping: 230</t>
  </si>
  <si>
    <t>Max Voltage Supplied</t>
  </si>
  <si>
    <t>Fritz</t>
  </si>
  <si>
    <t>Archie</t>
  </si>
  <si>
    <t>Max Current Draw</t>
  </si>
  <si>
    <t xml:space="preserve">less than 6 </t>
  </si>
  <si>
    <t>Voltages Supplied</t>
  </si>
  <si>
    <t>5, 12, 24</t>
  </si>
  <si>
    <t>Power Subsystem</t>
  </si>
  <si>
    <t>Interface Matrix Excerpt : Chassis Design Subsystem Sheet</t>
  </si>
  <si>
    <t>Interface Matrix Excerpt : Power Subsystem Sheet</t>
  </si>
  <si>
    <t>Interface  Matrix Excerpt : Motor Drive Subsystem Sheet</t>
  </si>
  <si>
    <t>Provided To</t>
  </si>
  <si>
    <t xml:space="preserve">This document contains a sample of how to fill out an interface matrix. Each sheet refers to a different subsystem. For this course you will be required to fill out only one sheet (one tab) in the template to record information about one of your subsystems.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</si>
</sst>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i/>
      <sz val="14"/>
      <color theme="1"/>
      <name val="Arial"/>
      <family val="2"/>
    </font>
    <font>
      <sz val="11"/>
      <color rgb="FF5C5C5C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 (Body)_x0000_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8">
    <xf numFmtId="0" fontId="0" fillId="0" borderId="0" xfId="0"/>
    <xf numFmtId="0" fontId="2" fillId="0" borderId="0" xfId="1" applyFont="1" applyAlignment="1">
      <alignment horizontal="right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vertical="top" wrapText="1"/>
    </xf>
    <xf numFmtId="0" fontId="8" fillId="0" borderId="0" xfId="1" applyFont="1" applyAlignment="1">
      <alignment wrapText="1"/>
    </xf>
    <xf numFmtId="0" fontId="3" fillId="0" borderId="0" xfId="1" applyFont="1" applyAlignment="1">
      <alignment vertical="top" wrapText="1"/>
    </xf>
    <xf numFmtId="0" fontId="9" fillId="0" borderId="0" xfId="1" applyFont="1"/>
    <xf numFmtId="0" fontId="10" fillId="0" borderId="0" xfId="2"/>
    <xf numFmtId="0" fontId="10" fillId="2" borderId="0" xfId="2" applyFill="1"/>
    <xf numFmtId="0" fontId="10" fillId="0" borderId="0" xfId="2" applyAlignment="1">
      <alignment horizontal="left"/>
    </xf>
    <xf numFmtId="0" fontId="10" fillId="0" borderId="0" xfId="2" applyAlignment="1">
      <alignment horizontal="right"/>
    </xf>
    <xf numFmtId="0" fontId="10" fillId="3" borderId="0" xfId="2" applyFill="1"/>
    <xf numFmtId="0" fontId="11" fillId="0" borderId="0" xfId="2" applyFont="1"/>
    <xf numFmtId="14" fontId="10" fillId="0" borderId="0" xfId="2" applyNumberFormat="1"/>
    <xf numFmtId="0" fontId="13" fillId="0" borderId="1" xfId="2" applyFont="1" applyBorder="1"/>
    <xf numFmtId="0" fontId="10" fillId="0" borderId="1" xfId="2" applyBorder="1"/>
    <xf numFmtId="0" fontId="10" fillId="2" borderId="1" xfId="2" applyFill="1" applyBorder="1"/>
    <xf numFmtId="0" fontId="10" fillId="0" borderId="1" xfId="2" applyBorder="1" applyAlignment="1">
      <alignment horizontal="left"/>
    </xf>
    <xf numFmtId="0" fontId="10" fillId="0" borderId="1" xfId="2" applyBorder="1" applyAlignment="1">
      <alignment horizontal="center"/>
    </xf>
    <xf numFmtId="0" fontId="11" fillId="2" borderId="1" xfId="2" applyFont="1" applyFill="1" applyBorder="1"/>
    <xf numFmtId="0" fontId="11" fillId="0" borderId="1" xfId="2" applyFont="1" applyBorder="1"/>
    <xf numFmtId="0" fontId="11" fillId="3" borderId="1" xfId="2" applyFont="1" applyFill="1" applyBorder="1"/>
    <xf numFmtId="0" fontId="14" fillId="0" borderId="0" xfId="2" applyFont="1"/>
    <xf numFmtId="0" fontId="10" fillId="0" borderId="2" xfId="2" applyBorder="1"/>
    <xf numFmtId="0" fontId="15" fillId="0" borderId="0" xfId="2" applyFont="1"/>
  </cellXfs>
  <cellStyles count="3">
    <cellStyle name="Normal" xfId="0" builtinId="0"/>
    <cellStyle name="Normal 2" xfId="1" xr:uid="{BC8148B8-89A0-9A4D-B0E7-70DB3878E7AD}"/>
    <cellStyle name="Normal 3" xfId="2" xr:uid="{73E05A9C-6D6C-014B-858F-C2E6BBC39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B851-A7C1-E746-B496-B6D791BB5D11}">
  <dimension ref="B3:B14"/>
  <sheetViews>
    <sheetView showGridLines="0" workbookViewId="0">
      <selection activeCell="B14" sqref="B14"/>
    </sheetView>
  </sheetViews>
  <sheetFormatPr baseColWidth="10" defaultRowHeight="16"/>
  <cols>
    <col min="1" max="1" width="10.83203125" style="2"/>
    <col min="2" max="2" width="141.1640625" style="2" customWidth="1"/>
    <col min="3" max="16384" width="10.83203125" style="2"/>
  </cols>
  <sheetData>
    <row r="3" spans="2:2">
      <c r="B3" s="1"/>
    </row>
    <row r="4" spans="2:2" ht="16" customHeight="1">
      <c r="B4" s="1"/>
    </row>
    <row r="5" spans="2:2" ht="51" customHeight="1">
      <c r="B5" s="3" t="s">
        <v>1</v>
      </c>
    </row>
    <row r="6" spans="2:2" ht="20">
      <c r="B6" s="4" t="s">
        <v>2</v>
      </c>
    </row>
    <row r="8" spans="2:2" ht="18">
      <c r="B8" s="5" t="s">
        <v>0</v>
      </c>
    </row>
    <row r="9" spans="2:2" ht="125" customHeight="1">
      <c r="B9" s="6" t="s">
        <v>90</v>
      </c>
    </row>
    <row r="10" spans="2:2" ht="29" customHeight="1">
      <c r="B10" s="7"/>
    </row>
    <row r="11" spans="2:2" ht="23" customHeight="1">
      <c r="B11" s="8"/>
    </row>
    <row r="12" spans="2:2" ht="24" customHeight="1">
      <c r="B12" s="8"/>
    </row>
    <row r="14" spans="2:2">
      <c r="B14" s="9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127A-0AC5-7045-B928-00F587EB618F}">
  <dimension ref="A1:T21"/>
  <sheetViews>
    <sheetView zoomScaleNormal="100" workbookViewId="0">
      <pane xSplit="20680" topLeftCell="P1"/>
      <selection activeCell="C32" sqref="C32"/>
      <selection pane="topRight" activeCell="S1" sqref="S1"/>
    </sheetView>
  </sheetViews>
  <sheetFormatPr baseColWidth="10" defaultColWidth="8.83203125" defaultRowHeight="15"/>
  <cols>
    <col min="1" max="1" width="21.33203125" style="14" bestFit="1" customWidth="1"/>
    <col min="2" max="3" width="14.33203125" style="10" bestFit="1" customWidth="1"/>
    <col min="4" max="4" width="1.6640625" style="11" customWidth="1"/>
    <col min="5" max="5" width="17.5" style="13" customWidth="1"/>
    <col min="6" max="6" width="8.83203125" style="12"/>
    <col min="7" max="7" width="9.6640625" style="10" bestFit="1" customWidth="1"/>
    <col min="8" max="8" width="1.6640625" style="11" customWidth="1"/>
    <col min="9" max="9" width="12.5" style="10" bestFit="1" customWidth="1"/>
    <col min="10" max="10" width="15.1640625" style="12" bestFit="1" customWidth="1"/>
    <col min="11" max="11" width="15.1640625" style="12" customWidth="1"/>
    <col min="12" max="12" width="1.5" style="11" customWidth="1"/>
    <col min="13" max="13" width="19.83203125" style="10" bestFit="1" customWidth="1"/>
    <col min="14" max="14" width="15.5" style="10" bestFit="1" customWidth="1"/>
    <col min="15" max="15" width="1.6640625" style="11" customWidth="1"/>
    <col min="16" max="16" width="13.33203125" style="10" customWidth="1"/>
    <col min="17" max="17" width="30.83203125" style="10" customWidth="1"/>
    <col min="18" max="18" width="36.33203125" style="10" customWidth="1"/>
    <col min="19" max="16384" width="8.83203125" style="10"/>
  </cols>
  <sheetData>
    <row r="1" spans="1:20" ht="24">
      <c r="A1" s="25" t="s">
        <v>86</v>
      </c>
      <c r="D1" s="10"/>
      <c r="H1" s="10"/>
      <c r="L1" s="10"/>
      <c r="O1" s="10"/>
    </row>
    <row r="2" spans="1:20">
      <c r="A2" s="10"/>
      <c r="D2" s="10"/>
      <c r="H2" s="10"/>
      <c r="L2" s="10"/>
      <c r="O2" s="10"/>
    </row>
    <row r="3" spans="1:20" ht="16" thickBot="1">
      <c r="A3" s="24" t="s">
        <v>21</v>
      </c>
      <c r="B3" s="23" t="s">
        <v>32</v>
      </c>
      <c r="C3" s="23" t="s">
        <v>31</v>
      </c>
      <c r="D3" s="22"/>
      <c r="E3" s="21" t="s">
        <v>30</v>
      </c>
      <c r="F3" s="20" t="s">
        <v>29</v>
      </c>
      <c r="G3" s="18" t="s">
        <v>28</v>
      </c>
      <c r="H3" s="19"/>
      <c r="I3" s="18" t="s">
        <v>27</v>
      </c>
      <c r="J3" s="20" t="s">
        <v>26</v>
      </c>
      <c r="K3" s="20" t="s">
        <v>25</v>
      </c>
      <c r="L3" s="19"/>
      <c r="M3" s="18" t="s">
        <v>24</v>
      </c>
      <c r="N3" s="18" t="s">
        <v>23</v>
      </c>
      <c r="O3" s="19"/>
      <c r="P3" s="18" t="s">
        <v>22</v>
      </c>
      <c r="Q3" s="17" t="s">
        <v>21</v>
      </c>
    </row>
    <row r="4" spans="1:20" ht="18" thickTop="1">
      <c r="B4" s="10" t="s">
        <v>89</v>
      </c>
      <c r="C4" s="10" t="s">
        <v>89</v>
      </c>
      <c r="E4" s="13">
        <v>144</v>
      </c>
      <c r="F4" s="12" t="s">
        <v>18</v>
      </c>
      <c r="G4" s="10" t="s">
        <v>11</v>
      </c>
      <c r="I4" s="16">
        <v>41085</v>
      </c>
      <c r="J4" s="12" t="s">
        <v>17</v>
      </c>
      <c r="K4" s="12" t="s">
        <v>16</v>
      </c>
      <c r="M4" s="16">
        <v>41105</v>
      </c>
      <c r="N4" s="16">
        <v>41122</v>
      </c>
      <c r="P4" s="10">
        <v>5</v>
      </c>
      <c r="Q4" s="10" t="s">
        <v>20</v>
      </c>
    </row>
    <row r="5" spans="1:20" ht="17">
      <c r="B5" s="10" t="s">
        <v>89</v>
      </c>
      <c r="E5" s="13">
        <v>10</v>
      </c>
      <c r="F5" s="12" t="s">
        <v>18</v>
      </c>
      <c r="G5" s="10" t="s">
        <v>11</v>
      </c>
      <c r="I5" s="16">
        <v>41086</v>
      </c>
      <c r="J5" s="12" t="s">
        <v>17</v>
      </c>
      <c r="K5" s="12" t="s">
        <v>16</v>
      </c>
      <c r="M5" s="16">
        <v>41105</v>
      </c>
      <c r="N5" s="16">
        <v>41122</v>
      </c>
      <c r="P5" s="10">
        <f t="shared" ref="P5:P11" si="0">P4+1</f>
        <v>6</v>
      </c>
      <c r="R5" s="10" t="s">
        <v>19</v>
      </c>
    </row>
    <row r="6" spans="1:20" ht="17">
      <c r="C6" s="10" t="s">
        <v>89</v>
      </c>
      <c r="E6" s="13">
        <v>12</v>
      </c>
      <c r="F6" s="12" t="s">
        <v>18</v>
      </c>
      <c r="G6" s="10" t="s">
        <v>11</v>
      </c>
      <c r="I6" s="16">
        <v>41086</v>
      </c>
      <c r="J6" s="12" t="s">
        <v>17</v>
      </c>
      <c r="K6" s="12" t="s">
        <v>16</v>
      </c>
      <c r="M6" s="16">
        <v>41105</v>
      </c>
      <c r="N6" s="16">
        <v>41122</v>
      </c>
      <c r="P6" s="10">
        <f t="shared" si="0"/>
        <v>7</v>
      </c>
      <c r="R6" s="10" t="s">
        <v>15</v>
      </c>
    </row>
    <row r="7" spans="1:20">
      <c r="B7" s="10" t="s">
        <v>89</v>
      </c>
      <c r="E7" s="13">
        <v>2.5</v>
      </c>
      <c r="F7" s="12" t="s">
        <v>12</v>
      </c>
      <c r="G7" s="10" t="s">
        <v>11</v>
      </c>
      <c r="I7" s="16">
        <v>41088</v>
      </c>
      <c r="J7" s="12" t="s">
        <v>10</v>
      </c>
      <c r="K7" s="12" t="s">
        <v>9</v>
      </c>
      <c r="M7" s="16">
        <v>41105</v>
      </c>
      <c r="N7" s="16">
        <v>41122</v>
      </c>
      <c r="P7" s="10">
        <f t="shared" si="0"/>
        <v>8</v>
      </c>
      <c r="Q7" s="10" t="s">
        <v>14</v>
      </c>
    </row>
    <row r="8" spans="1:20">
      <c r="B8" s="10" t="s">
        <v>89</v>
      </c>
      <c r="E8" s="13">
        <v>2</v>
      </c>
      <c r="F8" s="12" t="s">
        <v>12</v>
      </c>
      <c r="G8" s="10" t="s">
        <v>11</v>
      </c>
      <c r="I8" s="16">
        <v>41089</v>
      </c>
      <c r="J8" s="12" t="s">
        <v>10</v>
      </c>
      <c r="K8" s="12" t="s">
        <v>9</v>
      </c>
      <c r="M8" s="16">
        <v>41105</v>
      </c>
      <c r="N8" s="16">
        <v>41122</v>
      </c>
      <c r="P8" s="10">
        <f t="shared" si="0"/>
        <v>9</v>
      </c>
      <c r="R8" s="10" t="s">
        <v>13</v>
      </c>
    </row>
    <row r="9" spans="1:20">
      <c r="C9" s="10" t="s">
        <v>89</v>
      </c>
      <c r="E9" s="13">
        <v>0.5</v>
      </c>
      <c r="F9" s="12" t="s">
        <v>12</v>
      </c>
      <c r="G9" s="10" t="s">
        <v>11</v>
      </c>
      <c r="I9" s="16">
        <v>41089</v>
      </c>
      <c r="J9" s="12" t="s">
        <v>10</v>
      </c>
      <c r="K9" s="12" t="s">
        <v>9</v>
      </c>
      <c r="M9" s="16">
        <v>41105</v>
      </c>
      <c r="N9" s="16">
        <v>41122</v>
      </c>
      <c r="P9" s="10">
        <f t="shared" si="0"/>
        <v>10</v>
      </c>
      <c r="R9" s="10" t="s">
        <v>8</v>
      </c>
    </row>
    <row r="10" spans="1:20">
      <c r="E10" s="13">
        <v>1500</v>
      </c>
      <c r="F10" s="12" t="s">
        <v>6</v>
      </c>
      <c r="I10" s="16">
        <v>41075</v>
      </c>
      <c r="J10" s="12" t="s">
        <v>5</v>
      </c>
      <c r="K10" s="12" t="s">
        <v>4</v>
      </c>
      <c r="M10" s="16">
        <v>41075</v>
      </c>
      <c r="N10" s="16">
        <v>41105</v>
      </c>
      <c r="P10" s="10">
        <f t="shared" si="0"/>
        <v>11</v>
      </c>
      <c r="Q10" s="10" t="s">
        <v>7</v>
      </c>
      <c r="S10" s="15"/>
    </row>
    <row r="11" spans="1:20">
      <c r="E11" s="13">
        <v>150</v>
      </c>
      <c r="F11" s="12" t="s">
        <v>6</v>
      </c>
      <c r="I11" s="16">
        <v>41103</v>
      </c>
      <c r="J11" s="12" t="s">
        <v>5</v>
      </c>
      <c r="K11" s="12" t="s">
        <v>4</v>
      </c>
      <c r="M11" s="16"/>
      <c r="N11" s="16">
        <v>41105</v>
      </c>
      <c r="P11" s="10">
        <f t="shared" si="0"/>
        <v>12</v>
      </c>
      <c r="R11" s="10" t="s">
        <v>3</v>
      </c>
      <c r="T11" s="15"/>
    </row>
    <row r="13" spans="1:20">
      <c r="S13" s="15"/>
    </row>
    <row r="14" spans="1:20">
      <c r="T14" s="15"/>
    </row>
    <row r="21" spans="1:2" s="2" customFormat="1" ht="16">
      <c r="A21" s="14"/>
      <c r="B21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0332-7E9A-A64F-AACC-AA3794ED01B3}">
  <dimension ref="A1:T21"/>
  <sheetViews>
    <sheetView workbookViewId="0">
      <pane xSplit="21340" topLeftCell="P1"/>
      <selection activeCell="B21" sqref="B21"/>
      <selection pane="topRight" activeCell="P27" sqref="P27"/>
    </sheetView>
  </sheetViews>
  <sheetFormatPr baseColWidth="10" defaultColWidth="8.83203125" defaultRowHeight="15"/>
  <cols>
    <col min="1" max="1" width="21.33203125" style="10" bestFit="1" customWidth="1"/>
    <col min="2" max="2" width="14.33203125" style="14" bestFit="1" customWidth="1"/>
    <col min="3" max="3" width="14.33203125" style="10" bestFit="1" customWidth="1"/>
    <col min="4" max="4" width="1.6640625" style="11" customWidth="1"/>
    <col min="5" max="5" width="22.5" style="13" customWidth="1"/>
    <col min="6" max="6" width="8.83203125" style="12"/>
    <col min="7" max="7" width="9.6640625" style="10" bestFit="1" customWidth="1"/>
    <col min="8" max="8" width="1.6640625" style="11" customWidth="1"/>
    <col min="9" max="9" width="12.5" style="10" bestFit="1" customWidth="1"/>
    <col min="10" max="10" width="15.1640625" style="10" bestFit="1" customWidth="1"/>
    <col min="11" max="11" width="15.1640625" style="10" customWidth="1"/>
    <col min="12" max="12" width="1.5" style="11" customWidth="1"/>
    <col min="13" max="13" width="19.83203125" style="10" bestFit="1" customWidth="1"/>
    <col min="14" max="14" width="15.5" style="10" bestFit="1" customWidth="1"/>
    <col min="15" max="15" width="1.6640625" style="11" customWidth="1"/>
    <col min="16" max="16" width="9.6640625" style="10" customWidth="1"/>
    <col min="17" max="17" width="29" style="10" customWidth="1"/>
    <col min="18" max="16384" width="8.83203125" style="10"/>
  </cols>
  <sheetData>
    <row r="1" spans="1:20" ht="24">
      <c r="A1" s="27" t="s">
        <v>88</v>
      </c>
      <c r="B1" s="10"/>
    </row>
    <row r="2" spans="1:20">
      <c r="B2" s="10"/>
    </row>
    <row r="3" spans="1:20" ht="16" thickBot="1">
      <c r="A3" s="23" t="s">
        <v>21</v>
      </c>
      <c r="B3" s="24" t="s">
        <v>32</v>
      </c>
      <c r="C3" s="23" t="s">
        <v>31</v>
      </c>
      <c r="D3" s="22"/>
      <c r="E3" s="21" t="s">
        <v>30</v>
      </c>
      <c r="F3" s="20" t="s">
        <v>29</v>
      </c>
      <c r="G3" s="18" t="s">
        <v>28</v>
      </c>
      <c r="H3" s="19"/>
      <c r="I3" s="18" t="s">
        <v>27</v>
      </c>
      <c r="J3" s="18" t="s">
        <v>26</v>
      </c>
      <c r="K3" s="18" t="s">
        <v>25</v>
      </c>
      <c r="L3" s="19"/>
      <c r="M3" s="18" t="s">
        <v>24</v>
      </c>
      <c r="N3" s="18" t="s">
        <v>23</v>
      </c>
      <c r="O3" s="19"/>
      <c r="P3" s="18" t="s">
        <v>22</v>
      </c>
      <c r="Q3" s="17" t="s">
        <v>64</v>
      </c>
    </row>
    <row r="4" spans="1:20" ht="16" thickTop="1">
      <c r="P4" s="10">
        <v>5</v>
      </c>
      <c r="Q4" s="10" t="s">
        <v>63</v>
      </c>
    </row>
    <row r="5" spans="1:20">
      <c r="C5" s="10" t="s">
        <v>89</v>
      </c>
      <c r="E5" s="13">
        <v>24</v>
      </c>
      <c r="F5" s="12" t="s">
        <v>62</v>
      </c>
      <c r="I5" s="16">
        <v>41101</v>
      </c>
      <c r="J5" s="12" t="s">
        <v>57</v>
      </c>
      <c r="K5" s="12" t="s">
        <v>56</v>
      </c>
      <c r="N5" s="16">
        <v>41102</v>
      </c>
      <c r="P5" s="10">
        <f t="shared" ref="P5:P16" si="0">P4+1</f>
        <v>6</v>
      </c>
      <c r="R5" s="10" t="s">
        <v>61</v>
      </c>
    </row>
    <row r="6" spans="1:20">
      <c r="C6" s="10" t="s">
        <v>89</v>
      </c>
      <c r="E6" s="13">
        <v>1.7</v>
      </c>
      <c r="F6" s="12" t="s">
        <v>60</v>
      </c>
      <c r="I6" s="16">
        <v>41101</v>
      </c>
      <c r="J6" s="12" t="s">
        <v>57</v>
      </c>
      <c r="K6" s="12" t="s">
        <v>56</v>
      </c>
      <c r="N6" s="16">
        <v>41102</v>
      </c>
      <c r="P6" s="10">
        <f t="shared" si="0"/>
        <v>7</v>
      </c>
      <c r="R6" s="10" t="s">
        <v>59</v>
      </c>
    </row>
    <row r="7" spans="1:20">
      <c r="C7" s="10" t="s">
        <v>89</v>
      </c>
      <c r="E7" s="13">
        <v>30</v>
      </c>
      <c r="F7" s="12" t="s">
        <v>58</v>
      </c>
      <c r="I7" s="16">
        <v>41101</v>
      </c>
      <c r="J7" s="12" t="s">
        <v>57</v>
      </c>
      <c r="K7" s="12" t="s">
        <v>56</v>
      </c>
      <c r="N7" s="16">
        <v>41102</v>
      </c>
      <c r="P7" s="10">
        <f t="shared" si="0"/>
        <v>8</v>
      </c>
      <c r="R7" s="10" t="s">
        <v>55</v>
      </c>
    </row>
    <row r="8" spans="1:20">
      <c r="C8" s="10" t="s">
        <v>89</v>
      </c>
      <c r="E8" s="13">
        <v>24</v>
      </c>
      <c r="F8" s="12" t="s">
        <v>54</v>
      </c>
      <c r="G8" s="12" t="s">
        <v>11</v>
      </c>
      <c r="I8" s="16">
        <v>41088</v>
      </c>
      <c r="J8" s="12" t="s">
        <v>53</v>
      </c>
      <c r="K8" s="12" t="s">
        <v>52</v>
      </c>
      <c r="M8" s="16">
        <v>41090</v>
      </c>
      <c r="N8" s="16">
        <v>41105</v>
      </c>
      <c r="P8" s="10">
        <f t="shared" si="0"/>
        <v>9</v>
      </c>
      <c r="Q8" s="10" t="s">
        <v>51</v>
      </c>
    </row>
    <row r="9" spans="1:20">
      <c r="A9" s="10" t="s">
        <v>89</v>
      </c>
      <c r="E9" s="10">
        <v>216</v>
      </c>
      <c r="F9" s="12" t="s">
        <v>6</v>
      </c>
      <c r="G9" s="12"/>
      <c r="I9" s="16">
        <v>41109</v>
      </c>
      <c r="J9" s="12" t="s">
        <v>50</v>
      </c>
      <c r="K9" s="12" t="s">
        <v>49</v>
      </c>
      <c r="M9" s="16">
        <v>41095</v>
      </c>
      <c r="N9" s="16">
        <v>41108</v>
      </c>
      <c r="P9" s="10">
        <f t="shared" si="0"/>
        <v>10</v>
      </c>
      <c r="Q9" s="10" t="s">
        <v>48</v>
      </c>
    </row>
    <row r="10" spans="1:20">
      <c r="G10" s="12"/>
      <c r="J10" s="12"/>
      <c r="K10" s="12"/>
      <c r="P10" s="10">
        <f t="shared" si="0"/>
        <v>11</v>
      </c>
      <c r="Q10" s="10" t="s">
        <v>47</v>
      </c>
    </row>
    <row r="11" spans="1:20">
      <c r="A11" s="10" t="s">
        <v>89</v>
      </c>
      <c r="E11" s="13">
        <v>62.5</v>
      </c>
      <c r="F11" s="12" t="s">
        <v>45</v>
      </c>
      <c r="G11" s="12"/>
      <c r="I11" s="16">
        <v>41101</v>
      </c>
      <c r="J11" s="12" t="s">
        <v>40</v>
      </c>
      <c r="K11" s="12" t="s">
        <v>39</v>
      </c>
      <c r="M11" s="16">
        <v>41095</v>
      </c>
      <c r="N11" s="16">
        <v>41101</v>
      </c>
      <c r="P11" s="10">
        <f t="shared" si="0"/>
        <v>12</v>
      </c>
      <c r="R11" s="10" t="s">
        <v>46</v>
      </c>
    </row>
    <row r="12" spans="1:20">
      <c r="A12" s="10" t="s">
        <v>89</v>
      </c>
      <c r="E12" s="13">
        <v>50</v>
      </c>
      <c r="F12" s="12" t="s">
        <v>45</v>
      </c>
      <c r="G12" s="12"/>
      <c r="I12" s="16">
        <v>41101</v>
      </c>
      <c r="J12" s="12" t="s">
        <v>40</v>
      </c>
      <c r="K12" s="12" t="s">
        <v>39</v>
      </c>
      <c r="M12" s="16">
        <v>41095</v>
      </c>
      <c r="N12" s="16">
        <v>41101</v>
      </c>
      <c r="P12" s="10">
        <f t="shared" si="0"/>
        <v>13</v>
      </c>
      <c r="R12" s="10" t="s">
        <v>44</v>
      </c>
    </row>
    <row r="13" spans="1:20">
      <c r="G13" s="12"/>
      <c r="J13" s="12"/>
      <c r="K13" s="12"/>
      <c r="P13" s="10">
        <f t="shared" si="0"/>
        <v>14</v>
      </c>
      <c r="Q13" s="10" t="s">
        <v>43</v>
      </c>
      <c r="S13" s="15"/>
    </row>
    <row r="14" spans="1:20">
      <c r="A14" s="10" t="s">
        <v>89</v>
      </c>
      <c r="E14" s="13">
        <v>521</v>
      </c>
      <c r="F14" s="12" t="s">
        <v>42</v>
      </c>
      <c r="G14" s="12"/>
      <c r="I14" s="16">
        <v>41101</v>
      </c>
      <c r="J14" s="12" t="s">
        <v>40</v>
      </c>
      <c r="K14" s="12" t="s">
        <v>39</v>
      </c>
      <c r="M14" s="16">
        <v>41095</v>
      </c>
      <c r="N14" s="16">
        <v>41101</v>
      </c>
      <c r="P14" s="10">
        <f t="shared" si="0"/>
        <v>15</v>
      </c>
      <c r="R14" s="10" t="s">
        <v>41</v>
      </c>
      <c r="T14" s="15"/>
    </row>
    <row r="15" spans="1:20">
      <c r="A15" s="10" t="s">
        <v>89</v>
      </c>
      <c r="E15" s="13">
        <f>E14*4/1000</f>
        <v>2.0840000000000001</v>
      </c>
      <c r="F15" s="12" t="s">
        <v>12</v>
      </c>
      <c r="G15" s="12"/>
      <c r="I15" s="16">
        <v>41101</v>
      </c>
      <c r="J15" s="12" t="s">
        <v>40</v>
      </c>
      <c r="K15" s="12" t="s">
        <v>39</v>
      </c>
      <c r="N15" s="16">
        <v>41101</v>
      </c>
      <c r="P15" s="10">
        <f t="shared" si="0"/>
        <v>16</v>
      </c>
      <c r="R15" s="10" t="s">
        <v>38</v>
      </c>
    </row>
    <row r="16" spans="1:20">
      <c r="A16" s="10" t="s">
        <v>89</v>
      </c>
      <c r="E16" s="13" t="s">
        <v>37</v>
      </c>
      <c r="F16" s="12" t="s">
        <v>36</v>
      </c>
      <c r="G16" s="12"/>
      <c r="I16" s="16">
        <v>41119</v>
      </c>
      <c r="J16" s="12" t="s">
        <v>35</v>
      </c>
      <c r="K16" s="12" t="s">
        <v>34</v>
      </c>
      <c r="N16" s="16">
        <v>41136</v>
      </c>
      <c r="P16" s="10">
        <f t="shared" si="0"/>
        <v>17</v>
      </c>
      <c r="Q16" s="10" t="s">
        <v>33</v>
      </c>
      <c r="S16" s="15"/>
    </row>
    <row r="17" spans="2:20">
      <c r="G17" s="12"/>
      <c r="T17" s="15"/>
    </row>
    <row r="21" spans="2:20" s="2" customFormat="1" ht="16">
      <c r="B2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41E4-AABA-4746-8B42-2D5C434DB2EE}">
  <dimension ref="A1:T21"/>
  <sheetViews>
    <sheetView tabSelected="1" zoomScale="130" zoomScaleNormal="130" workbookViewId="0">
      <pane xSplit="25260"/>
      <selection activeCell="F16" sqref="F16"/>
      <selection pane="topRight" activeCell="T1" sqref="T1"/>
    </sheetView>
  </sheetViews>
  <sheetFormatPr baseColWidth="10" defaultColWidth="8.83203125" defaultRowHeight="15"/>
  <cols>
    <col min="1" max="1" width="21.33203125" style="10" bestFit="1" customWidth="1"/>
    <col min="2" max="2" width="14.33203125" style="10" bestFit="1" customWidth="1"/>
    <col min="3" max="3" width="14.33203125" style="14" bestFit="1" customWidth="1"/>
    <col min="4" max="4" width="1.6640625" style="11" customWidth="1"/>
    <col min="5" max="5" width="31.1640625" style="13" bestFit="1" customWidth="1"/>
    <col min="6" max="6" width="8.83203125" style="10"/>
    <col min="7" max="7" width="9.6640625" style="10" bestFit="1" customWidth="1"/>
    <col min="8" max="8" width="1.6640625" style="11" customWidth="1"/>
    <col min="9" max="9" width="12.5" style="10" bestFit="1" customWidth="1"/>
    <col min="10" max="10" width="15.1640625" style="10" bestFit="1" customWidth="1"/>
    <col min="11" max="11" width="15.1640625" style="10" customWidth="1"/>
    <col min="12" max="12" width="1.5" style="11" customWidth="1"/>
    <col min="13" max="13" width="19.83203125" style="10" bestFit="1" customWidth="1"/>
    <col min="14" max="14" width="15.5" style="10" bestFit="1" customWidth="1"/>
    <col min="15" max="15" width="1.6640625" style="11" customWidth="1"/>
    <col min="16" max="16" width="6.33203125" style="10" bestFit="1" customWidth="1"/>
    <col min="17" max="17" width="33" style="10" customWidth="1"/>
    <col min="18" max="16384" width="8.83203125" style="10"/>
  </cols>
  <sheetData>
    <row r="1" spans="1:20" ht="24">
      <c r="A1" s="27" t="s">
        <v>87</v>
      </c>
      <c r="C1" s="13"/>
    </row>
    <row r="2" spans="1:20">
      <c r="C2" s="13"/>
    </row>
    <row r="3" spans="1:20" ht="16" thickBot="1">
      <c r="A3" s="23" t="s">
        <v>21</v>
      </c>
      <c r="B3" s="23" t="s">
        <v>32</v>
      </c>
      <c r="C3" s="24" t="s">
        <v>31</v>
      </c>
      <c r="D3" s="22"/>
      <c r="E3" s="21" t="s">
        <v>30</v>
      </c>
      <c r="F3" s="18" t="s">
        <v>29</v>
      </c>
      <c r="G3" s="18" t="s">
        <v>28</v>
      </c>
      <c r="H3" s="19"/>
      <c r="I3" s="18" t="s">
        <v>27</v>
      </c>
      <c r="J3" s="18" t="s">
        <v>26</v>
      </c>
      <c r="K3" s="18" t="s">
        <v>25</v>
      </c>
      <c r="L3" s="19"/>
      <c r="M3" s="18" t="s">
        <v>24</v>
      </c>
      <c r="N3" s="18" t="s">
        <v>23</v>
      </c>
      <c r="O3" s="19"/>
      <c r="P3" s="18" t="s">
        <v>22</v>
      </c>
      <c r="Q3" s="17" t="s">
        <v>85</v>
      </c>
      <c r="R3" s="18"/>
      <c r="S3" s="26"/>
    </row>
    <row r="4" spans="1:20" ht="16" thickTop="1">
      <c r="B4" s="10" t="s">
        <v>89</v>
      </c>
      <c r="E4" s="13" t="s">
        <v>84</v>
      </c>
      <c r="F4" s="10" t="s">
        <v>62</v>
      </c>
      <c r="I4" s="16">
        <v>41102</v>
      </c>
      <c r="J4" s="10" t="s">
        <v>80</v>
      </c>
      <c r="K4" s="10" t="s">
        <v>79</v>
      </c>
      <c r="M4" s="16">
        <v>41091</v>
      </c>
      <c r="N4" s="16">
        <v>41102</v>
      </c>
      <c r="P4" s="10">
        <v>1</v>
      </c>
      <c r="Q4" s="10" t="s">
        <v>83</v>
      </c>
    </row>
    <row r="5" spans="1:20">
      <c r="B5" s="10" t="s">
        <v>89</v>
      </c>
      <c r="E5" s="13" t="s">
        <v>82</v>
      </c>
      <c r="F5" s="10" t="s">
        <v>60</v>
      </c>
      <c r="G5" s="10" t="s">
        <v>11</v>
      </c>
      <c r="I5" s="16">
        <v>41102</v>
      </c>
      <c r="J5" s="10" t="s">
        <v>80</v>
      </c>
      <c r="K5" s="10" t="s">
        <v>79</v>
      </c>
      <c r="M5" s="16">
        <v>41091</v>
      </c>
      <c r="N5" s="16">
        <v>41102</v>
      </c>
      <c r="P5" s="10">
        <f t="shared" ref="P5:P11" si="0">P4+1</f>
        <v>2</v>
      </c>
      <c r="Q5" s="10" t="s">
        <v>81</v>
      </c>
    </row>
    <row r="6" spans="1:20">
      <c r="B6" s="10" t="s">
        <v>89</v>
      </c>
      <c r="E6" s="13">
        <v>24</v>
      </c>
      <c r="F6" s="10" t="s">
        <v>62</v>
      </c>
      <c r="I6" s="16">
        <v>41102</v>
      </c>
      <c r="J6" s="10" t="s">
        <v>80</v>
      </c>
      <c r="K6" s="10" t="s">
        <v>79</v>
      </c>
      <c r="M6" s="16">
        <v>41091</v>
      </c>
      <c r="N6" s="16">
        <v>41102</v>
      </c>
      <c r="P6" s="10">
        <f t="shared" si="0"/>
        <v>3</v>
      </c>
      <c r="Q6" s="10" t="s">
        <v>78</v>
      </c>
    </row>
    <row r="7" spans="1:20">
      <c r="A7" s="10" t="s">
        <v>89</v>
      </c>
      <c r="E7" s="13" t="s">
        <v>77</v>
      </c>
      <c r="F7" s="10" t="s">
        <v>6</v>
      </c>
      <c r="I7" s="16">
        <v>41112</v>
      </c>
      <c r="J7" s="10" t="s">
        <v>67</v>
      </c>
      <c r="K7" s="10" t="s">
        <v>66</v>
      </c>
      <c r="M7" s="16">
        <v>41105</v>
      </c>
      <c r="N7" s="16">
        <v>41110</v>
      </c>
      <c r="P7" s="10">
        <f t="shared" si="0"/>
        <v>4</v>
      </c>
      <c r="Q7" s="10" t="s">
        <v>76</v>
      </c>
    </row>
    <row r="8" spans="1:20">
      <c r="A8" s="10" t="s">
        <v>89</v>
      </c>
      <c r="E8" s="13" t="s">
        <v>75</v>
      </c>
      <c r="F8" s="10" t="s">
        <v>36</v>
      </c>
      <c r="I8" s="16">
        <v>41112</v>
      </c>
      <c r="J8" s="10" t="s">
        <v>74</v>
      </c>
      <c r="K8" s="10" t="s">
        <v>73</v>
      </c>
      <c r="N8" s="16">
        <v>41136</v>
      </c>
      <c r="P8" s="10">
        <f t="shared" si="0"/>
        <v>5</v>
      </c>
      <c r="Q8" s="10" t="s">
        <v>72</v>
      </c>
    </row>
    <row r="9" spans="1:20">
      <c r="A9" s="10" t="s">
        <v>89</v>
      </c>
      <c r="E9" s="13" t="s">
        <v>71</v>
      </c>
      <c r="F9" s="10" t="s">
        <v>70</v>
      </c>
      <c r="I9" s="16">
        <v>41106</v>
      </c>
      <c r="J9" s="10" t="s">
        <v>67</v>
      </c>
      <c r="K9" s="10" t="s">
        <v>66</v>
      </c>
      <c r="N9" s="16">
        <v>41136</v>
      </c>
      <c r="P9" s="10">
        <f t="shared" si="0"/>
        <v>6</v>
      </c>
      <c r="Q9" s="10" t="s">
        <v>69</v>
      </c>
    </row>
    <row r="10" spans="1:20" ht="17">
      <c r="A10" s="10" t="s">
        <v>89</v>
      </c>
      <c r="E10" s="13">
        <v>12.5</v>
      </c>
      <c r="F10" s="10" t="s">
        <v>18</v>
      </c>
      <c r="I10" s="16">
        <v>41110</v>
      </c>
      <c r="J10" s="10" t="s">
        <v>67</v>
      </c>
      <c r="K10" s="10" t="s">
        <v>66</v>
      </c>
      <c r="M10" s="16"/>
      <c r="N10" s="16">
        <v>41110</v>
      </c>
      <c r="P10" s="10">
        <f t="shared" si="0"/>
        <v>7</v>
      </c>
      <c r="Q10" s="10" t="s">
        <v>68</v>
      </c>
    </row>
    <row r="11" spans="1:20">
      <c r="A11" s="10" t="s">
        <v>89</v>
      </c>
      <c r="E11" s="13">
        <v>0.21</v>
      </c>
      <c r="F11" s="10" t="s">
        <v>12</v>
      </c>
      <c r="G11" s="10" t="s">
        <v>11</v>
      </c>
      <c r="I11" s="16">
        <v>41110</v>
      </c>
      <c r="J11" s="10" t="s">
        <v>67</v>
      </c>
      <c r="K11" s="10" t="s">
        <v>66</v>
      </c>
      <c r="N11" s="16">
        <v>41110</v>
      </c>
      <c r="P11" s="10">
        <f t="shared" si="0"/>
        <v>8</v>
      </c>
      <c r="Q11" s="10" t="s">
        <v>65</v>
      </c>
    </row>
    <row r="12" spans="1:20">
      <c r="S12" s="15"/>
    </row>
    <row r="13" spans="1:20">
      <c r="R13" s="15"/>
      <c r="T13" s="15"/>
    </row>
    <row r="14" spans="1:20">
      <c r="T14" s="15"/>
    </row>
    <row r="16" spans="1:20">
      <c r="S16" s="15"/>
    </row>
    <row r="17" spans="2:20">
      <c r="T17" s="15"/>
    </row>
    <row r="21" spans="2:20" s="2" customFormat="1" ht="16">
      <c r="B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Sample - Chassis Design</vt:lpstr>
      <vt:lpstr>Sample - Motor Drive</vt:lpstr>
      <vt:lpstr>Sample -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Ancor</cp:lastModifiedBy>
  <dcterms:created xsi:type="dcterms:W3CDTF">2018-11-28T20:15:27Z</dcterms:created>
  <dcterms:modified xsi:type="dcterms:W3CDTF">2026-04-19T21:35:34Z</dcterms:modified>
</cp:coreProperties>
</file>