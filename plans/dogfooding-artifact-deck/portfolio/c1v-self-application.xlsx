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M1_DataFlows" sheetId="2" state="visible" r:id="rId2"/>
    <sheet xmlns:r="http://schemas.openxmlformats.org/officeDocument/2006/relationships" name="M2_Requirements" sheetId="3" state="visible" r:id="rId3"/>
    <sheet xmlns:r="http://schemas.openxmlformats.org/officeDocument/2006/relationships" name="M2_Constants" sheetId="4" state="visible" r:id="rId4"/>
    <sheet xmlns:r="http://schemas.openxmlformats.org/officeDocument/2006/relationships" name="M2_NFRs" sheetId="5" state="visible" r:id="rId5"/>
    <sheet xmlns:r="http://schemas.openxmlformats.org/officeDocument/2006/relationships" name="M3_Functions" sheetId="6" state="visible" r:id="rId6"/>
    <sheet xmlns:r="http://schemas.openxmlformats.org/officeDocument/2006/relationships" name="M3_Arrows" sheetId="7" state="visible" r:id="rId7"/>
    <sheet xmlns:r="http://schemas.openxmlformats.org/officeDocument/2006/relationships" name="M3_LogicGates" sheetId="8" state="visible" r:id="rId8"/>
    <sheet xmlns:r="http://schemas.openxmlformats.org/officeDocument/2006/relationships" name="M3_DataBlocks" sheetId="9" state="visible" r:id="rId9"/>
    <sheet xmlns:r="http://schemas.openxmlformats.org/officeDocument/2006/relationships" name="M3_CrossCutting" sheetId="10" state="visible" r:id="rId10"/>
    <sheet xmlns:r="http://schemas.openxmlformats.org/officeDocument/2006/relationships" name="M4_Summary" sheetId="11" state="visible" r:id="rId11"/>
    <sheet xmlns:r="http://schemas.openxmlformats.org/officeDocument/2006/relationships" name="M4_DecisionNodes" sheetId="12" state="visible" r:id="rId12"/>
    <sheet xmlns:r="http://schemas.openxmlformats.org/officeDocument/2006/relationships" name="M4_Scores" sheetId="13" state="visible" r:id="rId13"/>
    <sheet xmlns:r="http://schemas.openxmlformats.org/officeDocument/2006/relationships" name="M4_Audit" sheetId="14" state="visible" r:id="rId14"/>
    <sheet xmlns:r="http://schemas.openxmlformats.org/officeDocument/2006/relationships" name="M5_Forms" sheetId="15" state="visible" r:id="rId15"/>
    <sheet xmlns:r="http://schemas.openxmlformats.org/officeDocument/2006/relationships" name="M5_Functions" sheetId="16" state="visible" r:id="rId16"/>
    <sheet xmlns:r="http://schemas.openxmlformats.org/officeDocument/2006/relationships" name="M5_ConceptMatrix" sheetId="17" state="visible" r:id="rId17"/>
    <sheet xmlns:r="http://schemas.openxmlformats.org/officeDocument/2006/relationships" name="M5_Scoring" sheetId="18" state="visible" r:id="rId18"/>
    <sheet xmlns:r="http://schemas.openxmlformats.org/officeDocument/2006/relationships" name="M5_OperandProcess" sheetId="19" state="visible" r:id="rId19"/>
    <sheet xmlns:r="http://schemas.openxmlformats.org/officeDocument/2006/relationships" name="M5_Concepts" sheetId="20" state="visible" r:id="rId20"/>
    <sheet xmlns:r="http://schemas.openxmlformats.org/officeDocument/2006/relationships" name="M6_QFD_v2_QFD Template" sheetId="21" state="visible" r:id="rId21"/>
    <sheet xmlns:r="http://schemas.openxmlformats.org/officeDocument/2006/relationships" name="M6_QFD_v2_QFD Sample" sheetId="22" state="visible" r:id="rId22"/>
    <sheet xmlns:r="http://schemas.openxmlformats.org/officeDocument/2006/relationships" name="M6_QFD_v2_Sample References" sheetId="23" state="visible" r:id="rId23"/>
    <sheet xmlns:r="http://schemas.openxmlformats.org/officeDocument/2006/relationships" name="M6_HoQ_run_QFD Template" sheetId="24" state="visible" r:id="rId24"/>
    <sheet xmlns:r="http://schemas.openxmlformats.org/officeDocument/2006/relationships" name="M6_HoQ_run_QFD Sample" sheetId="25" state="visible" r:id="rId25"/>
    <sheet xmlns:r="http://schemas.openxmlformats.org/officeDocument/2006/relationships" name="M6_HoQ_run_Sample References" sheetId="26" state="visible" r:id="rId26"/>
    <sheet xmlns:r="http://schemas.openxmlformats.org/officeDocument/2006/relationships" name="M7_N2_N2 Chart" sheetId="27" state="visible" r:id="rId27"/>
    <sheet xmlns:r="http://schemas.openxmlformats.org/officeDocument/2006/relationships" name="M7_N2_Analysis" sheetId="28" state="visible" r:id="rId28"/>
    <sheet xmlns:r="http://schemas.openxmlformats.org/officeDocument/2006/relationships" name="M7_IF_Instructions" sheetId="29" state="visible" r:id="rId29"/>
    <sheet xmlns:r="http://schemas.openxmlformats.org/officeDocument/2006/relationships" name="M7_IF_Founder Web UI" sheetId="30" state="visible" r:id="rId30"/>
    <sheet xmlns:r="http://schemas.openxmlformats.org/officeDocument/2006/relationships" name="M7_IF_Session Manager" sheetId="31" state="visible" r:id="rId31"/>
    <sheet xmlns:r="http://schemas.openxmlformats.org/officeDocument/2006/relationships" name="M7_IF_Agent Orchestrator" sheetId="32" state="visible" r:id="rId32"/>
    <sheet xmlns:r="http://schemas.openxmlformats.org/officeDocument/2006/relationships" name="M7_IF_LLM Provider Layer" sheetId="33" state="visible" r:id="rId33"/>
    <sheet xmlns:r="http://schemas.openxmlformats.org/officeDocument/2006/relationships" name="M7_IF_Prompt Cache" sheetId="34" state="visible" r:id="rId34"/>
    <sheet xmlns:r="http://schemas.openxmlformats.org/officeDocument/2006/relationships" name="M7_IF_Spec Generator" sheetId="35" state="visible" r:id="rId35"/>
    <sheet xmlns:r="http://schemas.openxmlformats.org/officeDocument/2006/relationships" name="M7_IF_Traceback Store" sheetId="36" state="visible" r:id="rId36"/>
    <sheet xmlns:r="http://schemas.openxmlformats.org/officeDocument/2006/relationships" name="M7_IF_CLI Bundle Emitter" sheetId="37" state="visible" r:id="rId37"/>
    <sheet xmlns:r="http://schemas.openxmlformats.org/officeDocument/2006/relationships" name="M7_IF_Probe SDK" sheetId="38" state="visible" r:id="rId38"/>
    <sheet xmlns:r="http://schemas.openxmlformats.org/officeDocument/2006/relationships" name="M7_IF_Metrics Collector" sheetId="39" state="visible" r:id="rId39"/>
    <sheet xmlns:r="http://schemas.openxmlformats.org/officeDocument/2006/relationships" name="M7_IF_Metric Store" sheetId="40" state="visible" r:id="rId40"/>
    <sheet xmlns:r="http://schemas.openxmlformats.org/officeDocument/2006/relationships" name="M7_IF_Recommendation Engine" sheetId="41" state="visible" r:id="rId41"/>
    <sheet xmlns:r="http://schemas.openxmlformats.org/officeDocument/2006/relationships" name="M7_IF_Auth Credential Vault" sheetId="42" state="visible" r:id="rId42"/>
    <sheet xmlns:r="http://schemas.openxmlformats.org/officeDocument/2006/relationships" name="M7_IF_Audit Log Store" sheetId="43" state="visible" r:id="rId43"/>
    <sheet xmlns:r="http://schemas.openxmlformats.org/officeDocument/2006/relationships" name="M8_FMEA_early_FMEA Master" sheetId="44" state="visible" r:id="rId44"/>
    <sheet xmlns:r="http://schemas.openxmlformats.org/officeDocument/2006/relationships" name="M8_FMEA_early_Rating Scales" sheetId="45" state="visible" r:id="rId45"/>
    <sheet xmlns:r="http://schemas.openxmlformats.org/officeDocument/2006/relationships" name="M8_FMEA_early_Stoplight Before" sheetId="46" state="visible" r:id="rId46"/>
    <sheet xmlns:r="http://schemas.openxmlformats.org/officeDocument/2006/relationships" name="M8_FMEA_early_Stoplight After" sheetId="47" state="visible" r:id="rId47"/>
    <sheet xmlns:r="http://schemas.openxmlformats.org/officeDocument/2006/relationships" name="M8_FMEA_residual_FMEA Master" sheetId="48" state="visible" r:id="rId48"/>
    <sheet xmlns:r="http://schemas.openxmlformats.org/officeDocument/2006/relationships" name="M8_FMEA_residual_Rating Scales" sheetId="49" state="visible" r:id="rId49"/>
    <sheet xmlns:r="http://schemas.openxmlformats.org/officeDocument/2006/relationships" name="M8_FMEA_residual_Stoplight B..." sheetId="50" state="visible" r:id="rId50"/>
    <sheet xmlns:r="http://schemas.openxmlformats.org/officeDocument/2006/relationships" name="M8_FMEA_residual_Stoplight A..." sheetId="51" state="visible" r:id="rId51"/>
    <sheet xmlns:r="http://schemas.openxmlformats.org/officeDocument/2006/relationships" name="Synth_Summary" sheetId="52" state="visible" r:id="rId52"/>
    <sheet xmlns:r="http://schemas.openxmlformats.org/officeDocument/2006/relationships" name="Synth_Decisions" sheetId="53" state="visible" r:id="rId53"/>
    <sheet xmlns:r="http://schemas.openxmlformats.org/officeDocument/2006/relationships" name="Synth_Pareto" sheetId="54" state="visible" r:id="rId54"/>
    <sheet xmlns:r="http://schemas.openxmlformats.org/officeDocument/2006/relationships" name="Synth_Risks" sheetId="55" state="visible" r:id="rId55"/>
    <sheet xmlns:r="http://schemas.openxmlformats.org/officeDocument/2006/relationships" name="Synth_LatencyBudget" sheetId="56" state="visible" r:id="rId56"/>
    <sheet xmlns:r="http://schemas.openxmlformats.org/officeDocument/2006/relationships" name="Synth_ResidualRisk" sheetId="57" state="visible" r:id="rId57"/>
    <sheet xmlns:r="http://schemas.openxmlformats.org/officeDocument/2006/relationships" name="Synth_NextSteps" sheetId="58" state="visible" r:id="rId58"/>
  </sheets>
  <definedNames/>
  <calcPr calcId="124519" fullCalcOnLoad="1"/>
</workbook>
</file>

<file path=xl/styles.xml><?xml version="1.0" encoding="utf-8"?>
<styleSheet xmlns="http://schemas.openxmlformats.org/spreadsheetml/2006/main">
  <numFmts count="3">
    <numFmt numFmtId="164" formatCode="yyyy-mm-dd h:mm:ss"/>
    <numFmt numFmtId="165" formatCode="0.0"/>
    <numFmt numFmtId="166" formatCode="yyyy-mm-dd"/>
  </numFmts>
  <fonts count="27">
    <font>
      <name val="Calibri"/>
      <family val="2"/>
      <color theme="1"/>
      <sz val="11"/>
      <scheme val="minor"/>
    </font>
    <font>
      <b val="1"/>
    </font>
    <font>
      <b val="1"/>
      <sz val="16"/>
    </font>
    <font>
      <name val="Arial"/>
      <family val="2"/>
      <b val="1"/>
      <color theme="1"/>
      <sz val="12"/>
    </font>
    <font>
      <name val="Arial"/>
      <family val="2"/>
      <color theme="1"/>
      <sz val="12"/>
    </font>
    <font>
      <name val="Arial"/>
      <family val="2"/>
      <i val="1"/>
      <color theme="1"/>
      <sz val="12"/>
    </font>
    <font>
      <name val="Arial"/>
      <family val="2"/>
      <color theme="0" tint="-0.0499893185216834"/>
      <sz val="12"/>
    </font>
    <font>
      <name val="Calibri"/>
      <family val="2"/>
      <b val="1"/>
      <color theme="1"/>
      <sz val="12"/>
      <scheme val="minor"/>
    </font>
    <font>
      <name val="Calibri"/>
      <family val="2"/>
      <color theme="1"/>
      <sz val="12"/>
      <scheme val="minor"/>
    </font>
    <font>
      <name val="Calibri"/>
      <family val="2"/>
      <i val="1"/>
      <color theme="1"/>
      <sz val="12"/>
      <scheme val="minor"/>
    </font>
    <font>
      <name val="Calibri"/>
      <family val="2"/>
      <color theme="0" tint="-0.0499893185216834"/>
      <sz val="12"/>
      <scheme val="minor"/>
    </font>
    <font>
      <name val="Arial"/>
      <family val="2"/>
      <b val="1"/>
      <color theme="1"/>
      <sz val="16"/>
    </font>
    <font>
      <name val="Arial"/>
      <b val="1"/>
      <sz val="14"/>
    </font>
    <font>
      <name val="Arial"/>
      <sz val="10"/>
    </font>
    <font>
      <name val="Arial"/>
      <b val="1"/>
      <sz val="10"/>
    </font>
    <font>
      <name val="Arial"/>
      <b val="1"/>
      <sz val="11"/>
    </font>
    <font>
      <name val="Arial"/>
      <sz val="8"/>
    </font>
    <font>
      <name val="Arial"/>
      <sz val="9"/>
    </font>
    <font>
      <name val="Arial"/>
      <b val="1"/>
      <sz val="9"/>
    </font>
    <font>
      <name val="Arial"/>
      <b val="1"/>
      <sz val="12"/>
    </font>
    <font>
      <name val="Space Grotesk"/>
      <b val="1"/>
      <color rgb="00FBFCFC"/>
      <sz val="11"/>
    </font>
    <font>
      <name val="Consolas"/>
      <sz val="10"/>
    </font>
    <font>
      <name val="Space Grotesk"/>
      <b val="1"/>
      <color rgb="00FFFFFF"/>
      <sz val="10"/>
    </font>
    <font>
      <b val="1"/>
      <sz val="14"/>
    </font>
    <font>
      <b val="1"/>
      <sz val="18"/>
    </font>
    <font>
      <i val="1"/>
      <color rgb="00555555"/>
      <sz val="12"/>
    </font>
    <font>
      <i val="1"/>
    </font>
  </fonts>
  <fills count="21">
    <fill>
      <patternFill/>
    </fill>
    <fill>
      <patternFill patternType="gray125"/>
    </fill>
    <fill>
      <patternFill patternType="solid">
        <fgColor rgb="00DDDDDD"/>
      </patternFill>
    </fill>
    <fill>
      <patternFill patternType="solid">
        <fgColor theme="0" tint="-0.0499893185216834"/>
        <bgColor indexed="64"/>
      </patternFill>
    </fill>
    <fill>
      <patternFill patternType="solid">
        <fgColor rgb="00D9D9D9"/>
      </patternFill>
    </fill>
    <fill>
      <patternFill patternType="solid">
        <fgColor rgb="00E0E0FF"/>
      </patternFill>
    </fill>
    <fill>
      <patternFill patternType="solid">
        <fgColor rgb="00E0FFE0"/>
      </patternFill>
    </fill>
    <fill>
      <patternFill patternType="solid">
        <fgColor rgb="00FFE0E0"/>
      </patternFill>
    </fill>
    <fill>
      <patternFill patternType="solid">
        <fgColor rgb="00FFF3E0"/>
      </patternFill>
    </fill>
    <fill>
      <patternFill patternType="solid">
        <fgColor rgb="00F0F0F0"/>
      </patternFill>
    </fill>
    <fill>
      <patternFill patternType="solid">
        <fgColor rgb="00FFFFFF"/>
      </patternFill>
    </fill>
    <fill>
      <patternFill patternType="solid">
        <fgColor rgb="00FFF8C0"/>
      </patternFill>
    </fill>
    <fill>
      <patternFill patternType="solid">
        <fgColor rgb="00E8E8E8"/>
      </patternFill>
    </fill>
    <fill>
      <patternFill patternType="solid">
        <fgColor rgb="00D0D0D0"/>
      </patternFill>
    </fill>
    <fill>
      <patternFill patternType="solid">
        <fgColor rgb="00F8F8E0"/>
      </patternFill>
    </fill>
    <fill>
      <patternFill patternType="solid">
        <fgColor rgb="000B2C29"/>
      </patternFill>
    </fill>
    <fill>
      <patternFill patternType="solid">
        <fgColor rgb="00EAB308"/>
      </patternFill>
    </fill>
    <fill>
      <patternFill patternType="solid">
        <fgColor rgb="0016A34A"/>
      </patternFill>
    </fill>
    <fill>
      <patternFill patternType="solid">
        <fgColor rgb="0084CC16"/>
      </patternFill>
    </fill>
    <fill>
      <patternFill patternType="solid">
        <fgColor rgb="00EA580C"/>
      </patternFill>
    </fill>
    <fill>
      <patternFill patternType="solid">
        <fgColor rgb="00DC2626"/>
      </patternFill>
    </fill>
  </fills>
  <borders count="57">
    <border>
      <left/>
      <right/>
      <top/>
      <bottom/>
      <diagonal/>
    </border>
    <border>
      <left style="medium">
        <color auto="1"/>
      </left>
      <right/>
      <top style="medium">
        <color auto="1"/>
      </top>
      <bottom style="thin">
        <color auto="1"/>
      </bottom>
      <diagonal/>
    </border>
    <border>
      <left style="medium">
        <color auto="1"/>
      </left>
      <right/>
      <top/>
      <bottom style="medium">
        <color auto="1"/>
      </bottom>
      <diagonal/>
    </border>
    <border>
      <left style="medium">
        <color auto="1"/>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right style="medium">
        <color auto="1"/>
      </right>
      <top style="medium">
        <color auto="1"/>
      </top>
      <bottom/>
      <diagonal/>
    </border>
    <border>
      <left/>
      <right style="medium">
        <color auto="1"/>
      </right>
      <top style="thin">
        <color auto="1"/>
      </top>
      <bottom/>
      <diagonal/>
    </border>
    <border>
      <left style="medium">
        <color auto="1"/>
      </left>
      <right style="medium">
        <color auto="1"/>
      </right>
      <top style="medium">
        <color auto="1"/>
      </top>
      <bottom/>
      <diagonal/>
    </border>
    <border>
      <left/>
      <right/>
      <top style="medium">
        <color auto="1"/>
      </top>
      <bottom/>
      <diagonal/>
    </border>
    <border>
      <left style="thin">
        <color auto="1"/>
      </left>
      <right style="medium">
        <color auto="1"/>
      </right>
      <top style="thin">
        <color auto="1"/>
      </top>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thin">
        <color auto="1"/>
      </top>
      <bottom/>
      <diagonal/>
    </border>
    <border>
      <left style="thin">
        <color auto="1"/>
      </left>
      <right/>
      <top style="thin">
        <color auto="1"/>
      </top>
      <bottom/>
      <diagonal/>
    </border>
    <border>
      <left style="medium">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style="thin">
        <color auto="1"/>
      </top>
      <bottom style="thin">
        <color auto="1"/>
      </bottom>
      <diagonal/>
    </border>
    <border>
      <left style="medium">
        <color auto="1"/>
      </left>
      <right style="medium">
        <color auto="1"/>
      </right>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diagonal/>
    </border>
    <border>
      <left style="thin">
        <color theme="0"/>
      </left>
      <right/>
      <top style="thin">
        <color theme="0"/>
      </top>
      <bottom style="thin">
        <color theme="0"/>
      </bottom>
      <diagonal/>
    </border>
    <border>
      <left style="thin"/>
      <right style="thin"/>
      <top style="thin"/>
      <bottom style="thin"/>
    </border>
    <border>
      <left/>
      <right/>
      <top style="thin"/>
      <bottom style="thin"/>
      <diagonal/>
    </border>
    <border>
      <left/>
      <right style="thin"/>
      <top style="thin"/>
      <bottom style="thin"/>
      <diagonal/>
    </border>
    <border>
      <left/>
      <right/>
      <top style="thin"/>
      <bottom/>
      <diagonal/>
    </border>
    <border>
      <left/>
      <right style="thin"/>
      <top style="thin"/>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6">
    <xf numFmtId="0" fontId="0" fillId="0" borderId="0" pivotButton="0" quotePrefix="0" xfId="0"/>
    <xf numFmtId="0" fontId="24" fillId="0" borderId="0" pivotButton="0" quotePrefix="0" xfId="0"/>
    <xf numFmtId="0" fontId="25" fillId="0" borderId="0" pivotButton="0" quotePrefix="0" xfId="0"/>
    <xf numFmtId="0" fontId="1" fillId="2" borderId="0" pivotButton="0" quotePrefix="0" xfId="0"/>
    <xf numFmtId="0" fontId="26"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0" borderId="0" applyAlignment="1" pivotButton="0" quotePrefix="0" xfId="0">
      <alignment horizontal="right"/>
    </xf>
    <xf numFmtId="0" fontId="4" fillId="0" borderId="0" applyAlignment="1" pivotButton="0" quotePrefix="0" xfId="0">
      <alignment horizontal="left"/>
    </xf>
    <xf numFmtId="0" fontId="4" fillId="0" borderId="0" pivotButton="0" quotePrefix="0" xfId="0"/>
    <xf numFmtId="0" fontId="4" fillId="3" borderId="1" applyAlignment="1" pivotButton="0" quotePrefix="0" xfId="0">
      <alignment horizontal="center"/>
    </xf>
    <xf numFmtId="0" fontId="4" fillId="0" borderId="2" pivotButton="0" quotePrefix="0" xfId="0"/>
    <xf numFmtId="0" fontId="4" fillId="0" borderId="0" applyAlignment="1" pivotButton="0" quotePrefix="0" xfId="0">
      <alignment horizontal="center"/>
    </xf>
    <xf numFmtId="0" fontId="4" fillId="0" borderId="3" pivotButton="0" quotePrefix="0" xfId="0"/>
    <xf numFmtId="0" fontId="4" fillId="3" borderId="4" applyAlignment="1" pivotButton="0" quotePrefix="0" xfId="0">
      <alignment horizontal="center"/>
    </xf>
    <xf numFmtId="0" fontId="4" fillId="0" borderId="5" pivotButton="0" quotePrefix="0" xfId="0"/>
    <xf numFmtId="14" fontId="4" fillId="0" borderId="0" applyAlignment="1" pivotButton="0" quotePrefix="0" xfId="0">
      <alignment horizontal="left"/>
    </xf>
    <xf numFmtId="0" fontId="4" fillId="0" borderId="6" pivotButton="0" quotePrefix="0" xfId="0"/>
    <xf numFmtId="0" fontId="4" fillId="0" borderId="6" applyAlignment="1" pivotButton="0" quotePrefix="0" xfId="0">
      <alignment horizontal="right"/>
    </xf>
    <xf numFmtId="0" fontId="4" fillId="3" borderId="7" applyAlignment="1" pivotButton="0" quotePrefix="0" xfId="0">
      <alignment horizontal="center"/>
    </xf>
    <xf numFmtId="0" fontId="4" fillId="0" borderId="8" pivotButton="0" quotePrefix="0" xfId="0"/>
    <xf numFmtId="0" fontId="4" fillId="0" borderId="9" pivotButton="0" quotePrefix="0" xfId="0"/>
    <xf numFmtId="0" fontId="4" fillId="0" borderId="7" applyAlignment="1" pivotButton="0" quotePrefix="0" xfId="0">
      <alignment horizontal="center"/>
    </xf>
    <xf numFmtId="0" fontId="4" fillId="0" borderId="10" pivotButton="0" quotePrefix="0" xfId="0"/>
    <xf numFmtId="0" fontId="4" fillId="0" borderId="11" pivotButton="0" quotePrefix="0" xfId="0"/>
    <xf numFmtId="0" fontId="4" fillId="0" borderId="12" pivotButton="0" quotePrefix="0" xfId="0"/>
    <xf numFmtId="0" fontId="4" fillId="0" borderId="3" applyAlignment="1" pivotButton="0" quotePrefix="0" xfId="0">
      <alignment horizontal="right"/>
    </xf>
    <xf numFmtId="0" fontId="4" fillId="0" borderId="13" pivotButton="0" quotePrefix="0" xfId="0"/>
    <xf numFmtId="0" fontId="4" fillId="3" borderId="14" applyAlignment="1" pivotButton="0" quotePrefix="0" xfId="0">
      <alignment horizontal="center"/>
    </xf>
    <xf numFmtId="0" fontId="5" fillId="0" borderId="0" applyAlignment="1" pivotButton="0" quotePrefix="0" xfId="0">
      <alignment horizontal="right"/>
    </xf>
    <xf numFmtId="0" fontId="4" fillId="0" borderId="15" pivotButton="0" quotePrefix="0" xfId="0"/>
    <xf numFmtId="0" fontId="3" fillId="0" borderId="16" applyAlignment="1" pivotButton="0" quotePrefix="0" xfId="0">
      <alignment horizontal="center"/>
    </xf>
    <xf numFmtId="0" fontId="0" fillId="0" borderId="17" pivotButton="0" quotePrefix="0" xfId="0"/>
    <xf numFmtId="0" fontId="0" fillId="0" borderId="14" pivotButton="0" quotePrefix="0" xfId="0"/>
    <xf numFmtId="0" fontId="5" fillId="0" borderId="0" applyAlignment="1" pivotButton="0" quotePrefix="0" xfId="0">
      <alignment wrapText="1"/>
    </xf>
    <xf numFmtId="0" fontId="4" fillId="0" borderId="12" applyAlignment="1" pivotButton="0" quotePrefix="0" xfId="0">
      <alignment textRotation="90" wrapText="1"/>
    </xf>
    <xf numFmtId="0" fontId="4" fillId="0" borderId="5" applyAlignment="1" pivotButton="0" quotePrefix="0" xfId="0">
      <alignment textRotation="90" wrapText="1"/>
    </xf>
    <xf numFmtId="0" fontId="4" fillId="0" borderId="5" applyAlignment="1" pivotButton="0" quotePrefix="0" xfId="0">
      <alignment textRotation="90"/>
    </xf>
    <xf numFmtId="0" fontId="4" fillId="0" borderId="9" applyAlignment="1" pivotButton="0" quotePrefix="0" xfId="0">
      <alignment textRotation="90"/>
    </xf>
    <xf numFmtId="0" fontId="4" fillId="0" borderId="18" applyAlignment="1" pivotButton="0" quotePrefix="0" xfId="0">
      <alignment textRotation="90"/>
    </xf>
    <xf numFmtId="0" fontId="3" fillId="0" borderId="19" applyAlignment="1" pivotButton="0" quotePrefix="0" xfId="0">
      <alignment horizontal="center"/>
    </xf>
    <xf numFmtId="0" fontId="0" fillId="0" borderId="19" pivotButton="0" quotePrefix="0" xfId="0"/>
    <xf numFmtId="0" fontId="4" fillId="3" borderId="0" pivotButton="0" quotePrefix="0" xfId="0"/>
    <xf numFmtId="0" fontId="4" fillId="0" borderId="20" applyAlignment="1" pivotButton="0" quotePrefix="0" xfId="0">
      <alignment horizontal="center"/>
    </xf>
    <xf numFmtId="0" fontId="4" fillId="0" borderId="21" applyAlignment="1" pivotButton="0" quotePrefix="0" xfId="0">
      <alignment horizontal="center"/>
    </xf>
    <xf numFmtId="0" fontId="4" fillId="0" borderId="22" applyAlignment="1" pivotButton="0" quotePrefix="0" xfId="0">
      <alignment horizontal="center"/>
    </xf>
    <xf numFmtId="0" fontId="4" fillId="0" borderId="23" applyAlignment="1" pivotButton="0" quotePrefix="0" xfId="0">
      <alignment horizontal="center"/>
    </xf>
    <xf numFmtId="0" fontId="5" fillId="0" borderId="5" pivotButton="0" quotePrefix="0" xfId="0"/>
    <xf numFmtId="2" fontId="6" fillId="0" borderId="0" pivotButton="0" quotePrefix="0" xfId="0"/>
    <xf numFmtId="0" fontId="4" fillId="3" borderId="24" pivotButton="0" quotePrefix="0" xfId="0"/>
    <xf numFmtId="0" fontId="4" fillId="3" borderId="25" pivotButton="0" quotePrefix="0" xfId="0"/>
    <xf numFmtId="0" fontId="4" fillId="3" borderId="26" pivotButton="0" quotePrefix="0" xfId="0"/>
    <xf numFmtId="0" fontId="4" fillId="0" borderId="12" applyAlignment="1" pivotButton="0" quotePrefix="0" xfId="0">
      <alignment horizontal="center"/>
    </xf>
    <xf numFmtId="0" fontId="4" fillId="0" borderId="9" applyAlignment="1" pivotButton="0" quotePrefix="0" xfId="0">
      <alignment horizontal="center"/>
    </xf>
    <xf numFmtId="0" fontId="4" fillId="0" borderId="5" applyAlignment="1" pivotButton="0" quotePrefix="0" xfId="0">
      <alignment horizontal="center"/>
    </xf>
    <xf numFmtId="0" fontId="4" fillId="0" borderId="27" applyAlignment="1" pivotButton="0" quotePrefix="0" xfId="0">
      <alignment horizontal="center"/>
    </xf>
    <xf numFmtId="0" fontId="4" fillId="0" borderId="28" applyAlignment="1" pivotButton="0" quotePrefix="0" xfId="0">
      <alignment horizontal="center"/>
    </xf>
    <xf numFmtId="0" fontId="4" fillId="0" borderId="18" applyAlignment="1" pivotButton="0" quotePrefix="0" xfId="0">
      <alignment horizontal="center"/>
    </xf>
    <xf numFmtId="0" fontId="4" fillId="0" borderId="1" pivotButton="0" quotePrefix="0" xfId="0"/>
    <xf numFmtId="0" fontId="4" fillId="0" borderId="29" pivotButton="0" quotePrefix="0" xfId="0"/>
    <xf numFmtId="2" fontId="4" fillId="0" borderId="30" pivotButton="0" quotePrefix="0" xfId="0"/>
    <xf numFmtId="1" fontId="4" fillId="0" borderId="31" applyAlignment="1" pivotButton="0" quotePrefix="0" xfId="0">
      <alignment horizontal="center"/>
    </xf>
    <xf numFmtId="1" fontId="4" fillId="0" borderId="13" applyAlignment="1" pivotButton="0" quotePrefix="0" xfId="0">
      <alignment horizontal="center"/>
    </xf>
    <xf numFmtId="1" fontId="4" fillId="0" borderId="4" applyAlignment="1" pivotButton="0" quotePrefix="0" xfId="0">
      <alignment horizontal="center"/>
    </xf>
    <xf numFmtId="0" fontId="4" fillId="0" borderId="32" applyAlignment="1" pivotButton="0" quotePrefix="0" xfId="0">
      <alignment horizontal="center"/>
    </xf>
    <xf numFmtId="0" fontId="4" fillId="0" borderId="33" applyAlignment="1" pivotButton="0" quotePrefix="0" xfId="0">
      <alignment horizontal="center"/>
    </xf>
    <xf numFmtId="0" fontId="4" fillId="0" borderId="34" applyAlignment="1" pivotButton="0" quotePrefix="0" xfId="0">
      <alignment horizontal="center"/>
    </xf>
    <xf numFmtId="165" fontId="4" fillId="0" borderId="32" pivotButton="0" quotePrefix="0" xfId="0"/>
    <xf numFmtId="165" fontId="4" fillId="0" borderId="33" pivotButton="0" quotePrefix="0" xfId="0"/>
    <xf numFmtId="165" fontId="4" fillId="0" borderId="35" pivotButton="0" quotePrefix="0" xfId="0"/>
    <xf numFmtId="0" fontId="4" fillId="0" borderId="36" pivotButton="0" quotePrefix="0" xfId="0"/>
    <xf numFmtId="0" fontId="4" fillId="0" borderId="37" pivotButton="0" quotePrefix="0" xfId="0"/>
    <xf numFmtId="2" fontId="4" fillId="0" borderId="10" pivotButton="0" quotePrefix="0" xfId="0"/>
    <xf numFmtId="1" fontId="4" fillId="0" borderId="3" applyAlignment="1" pivotButton="0" quotePrefix="0" xfId="0">
      <alignment horizontal="center"/>
    </xf>
    <xf numFmtId="1" fontId="4" fillId="0" borderId="6" applyAlignment="1" pivotButton="0" quotePrefix="0" xfId="0">
      <alignment horizontal="center"/>
    </xf>
    <xf numFmtId="1" fontId="4" fillId="0" borderId="36" applyAlignment="1" pivotButton="0" quotePrefix="0" xfId="0">
      <alignment horizontal="center"/>
    </xf>
    <xf numFmtId="0" fontId="4" fillId="0" borderId="3" applyAlignment="1" pivotButton="0" quotePrefix="0" xfId="0">
      <alignment horizontal="center"/>
    </xf>
    <xf numFmtId="0" fontId="4" fillId="0" borderId="6" applyAlignment="1" pivotButton="0" quotePrefix="0" xfId="0">
      <alignment horizontal="center"/>
    </xf>
    <xf numFmtId="0" fontId="4" fillId="0" borderId="36" applyAlignment="1" pivotButton="0" quotePrefix="0" xfId="0">
      <alignment horizontal="center"/>
    </xf>
    <xf numFmtId="165" fontId="4" fillId="0" borderId="3" pivotButton="0" quotePrefix="0" xfId="0"/>
    <xf numFmtId="165" fontId="4" fillId="0" borderId="6" pivotButton="0" quotePrefix="0" xfId="0"/>
    <xf numFmtId="165" fontId="4" fillId="0" borderId="38" pivotButton="0" quotePrefix="0" xfId="0"/>
    <xf numFmtId="0" fontId="4" fillId="0" borderId="39" pivotButton="0" quotePrefix="0" xfId="0"/>
    <xf numFmtId="0" fontId="4" fillId="0" borderId="40" pivotButton="0" quotePrefix="0" xfId="0"/>
    <xf numFmtId="0" fontId="4" fillId="0" borderId="41" pivotButton="0" quotePrefix="0" xfId="0"/>
    <xf numFmtId="0" fontId="4" fillId="0" borderId="42" pivotButton="0" quotePrefix="0" xfId="0"/>
    <xf numFmtId="2" fontId="4" fillId="0" borderId="27" pivotButton="0" quotePrefix="0" xfId="0"/>
    <xf numFmtId="1" fontId="4" fillId="0" borderId="12" applyAlignment="1" pivotButton="0" quotePrefix="0" xfId="0">
      <alignment horizontal="center"/>
    </xf>
    <xf numFmtId="1" fontId="4" fillId="0" borderId="5" applyAlignment="1" pivotButton="0" quotePrefix="0" xfId="0">
      <alignment horizontal="center"/>
    </xf>
    <xf numFmtId="1" fontId="4" fillId="0" borderId="28" applyAlignment="1" pivotButton="0" quotePrefix="0" xfId="0">
      <alignment horizontal="center"/>
    </xf>
    <xf numFmtId="0" fontId="4" fillId="0" borderId="43" applyAlignment="1" pivotButton="0" quotePrefix="0" xfId="0">
      <alignment horizontal="center"/>
    </xf>
    <xf numFmtId="0" fontId="4" fillId="0" borderId="44" applyAlignment="1" pivotButton="0" quotePrefix="0" xfId="0">
      <alignment horizontal="center"/>
    </xf>
    <xf numFmtId="0" fontId="4" fillId="0" borderId="45" applyAlignment="1" pivotButton="0" quotePrefix="0" xfId="0">
      <alignment horizontal="center"/>
    </xf>
    <xf numFmtId="165" fontId="4" fillId="0" borderId="43" pivotButton="0" quotePrefix="0" xfId="0"/>
    <xf numFmtId="165" fontId="4" fillId="0" borderId="44" pivotButton="0" quotePrefix="0" xfId="0"/>
    <xf numFmtId="165" fontId="4" fillId="0" borderId="46" pivotButton="0" quotePrefix="0" xfId="0"/>
    <xf numFmtId="0" fontId="4" fillId="0" borderId="32" applyAlignment="1" pivotButton="0" quotePrefix="0" xfId="0">
      <alignment horizontal="left"/>
    </xf>
    <xf numFmtId="0" fontId="0" fillId="0" borderId="47" pivotButton="0" quotePrefix="0" xfId="0"/>
    <xf numFmtId="0" fontId="4" fillId="0" borderId="33" pivotButton="0" quotePrefix="0" xfId="0"/>
    <xf numFmtId="0" fontId="4" fillId="0" borderId="35" applyAlignment="1" pivotButton="0" quotePrefix="0" xfId="0">
      <alignment wrapText="1"/>
    </xf>
    <xf numFmtId="165" fontId="3" fillId="0" borderId="0" pivotButton="0" quotePrefix="0" xfId="0"/>
    <xf numFmtId="0" fontId="5" fillId="0" borderId="0" applyAlignment="1" pivotButton="0" quotePrefix="0" xfId="0">
      <alignment horizontal="left"/>
    </xf>
    <xf numFmtId="0" fontId="4" fillId="0" borderId="3" applyAlignment="1" pivotButton="0" quotePrefix="0" xfId="0">
      <alignment horizontal="left"/>
    </xf>
    <xf numFmtId="0" fontId="0" fillId="0" borderId="8" pivotButton="0" quotePrefix="0" xfId="0"/>
    <xf numFmtId="2" fontId="4" fillId="0" borderId="6" pivotButton="0" quotePrefix="0" xfId="0"/>
    <xf numFmtId="0" fontId="4" fillId="0" borderId="38" pivotButton="0" quotePrefix="0" xfId="0"/>
    <xf numFmtId="0" fontId="3" fillId="0" borderId="3" applyAlignment="1" pivotButton="0" quotePrefix="0" xfId="0">
      <alignment horizontal="left"/>
    </xf>
    <xf numFmtId="0" fontId="3" fillId="0" borderId="6" pivotButton="0" quotePrefix="0" xfId="0"/>
    <xf numFmtId="0" fontId="3" fillId="0" borderId="38" pivotButton="0" quotePrefix="0" xfId="0"/>
    <xf numFmtId="1" fontId="4" fillId="0" borderId="6" pivotButton="0" quotePrefix="0" xfId="0"/>
    <xf numFmtId="1" fontId="4" fillId="0" borderId="38" pivotButton="0" quotePrefix="0" xfId="0"/>
    <xf numFmtId="0" fontId="4" fillId="0" borderId="43" applyAlignment="1" pivotButton="0" quotePrefix="0" xfId="0">
      <alignment horizontal="left"/>
    </xf>
    <xf numFmtId="0" fontId="0" fillId="0" borderId="48" pivotButton="0" quotePrefix="0" xfId="0"/>
    <xf numFmtId="0" fontId="4" fillId="0" borderId="44" pivotButton="0" quotePrefix="0" xfId="0"/>
    <xf numFmtId="0" fontId="4" fillId="0" borderId="46" pivotButton="0" quotePrefix="0" xfId="0"/>
    <xf numFmtId="0" fontId="7" fillId="0" borderId="0" pivotButton="0" quotePrefix="0" xfId="0"/>
    <xf numFmtId="0" fontId="8" fillId="0" borderId="0" applyAlignment="1" pivotButton="0" quotePrefix="0" xfId="0">
      <alignment horizontal="right"/>
    </xf>
    <xf numFmtId="0" fontId="8" fillId="0" borderId="0" applyAlignment="1" pivotButton="0" quotePrefix="0" xfId="0">
      <alignment horizontal="left"/>
    </xf>
    <xf numFmtId="0" fontId="8" fillId="0" borderId="0" pivotButton="0" quotePrefix="0" xfId="0"/>
    <xf numFmtId="0" fontId="8" fillId="3" borderId="1" applyAlignment="1" pivotButton="0" quotePrefix="0" xfId="0">
      <alignment horizontal="center"/>
    </xf>
    <xf numFmtId="0" fontId="8" fillId="0" borderId="2" pivotButton="0" quotePrefix="0" xfId="0"/>
    <xf numFmtId="0" fontId="8" fillId="0" borderId="0" applyAlignment="1" pivotButton="0" quotePrefix="0" xfId="0">
      <alignment horizontal="center"/>
    </xf>
    <xf numFmtId="0" fontId="8" fillId="0" borderId="3" pivotButton="0" quotePrefix="0" xfId="0"/>
    <xf numFmtId="0" fontId="8" fillId="3" borderId="4" applyAlignment="1" pivotButton="0" quotePrefix="0" xfId="0">
      <alignment horizontal="center"/>
    </xf>
    <xf numFmtId="0" fontId="8" fillId="0" borderId="5" pivotButton="0" quotePrefix="0" xfId="0"/>
    <xf numFmtId="14" fontId="8" fillId="0" borderId="0" applyAlignment="1" pivotButton="0" quotePrefix="0" xfId="0">
      <alignment horizontal="left"/>
    </xf>
    <xf numFmtId="0" fontId="8" fillId="0" borderId="6" pivotButton="0" quotePrefix="0" xfId="0"/>
    <xf numFmtId="0" fontId="8" fillId="0" borderId="6" applyAlignment="1" pivotButton="0" quotePrefix="0" xfId="0">
      <alignment horizontal="right"/>
    </xf>
    <xf numFmtId="0" fontId="8" fillId="3" borderId="7" applyAlignment="1" pivotButton="0" quotePrefix="0" xfId="0">
      <alignment horizontal="center"/>
    </xf>
    <xf numFmtId="0" fontId="8" fillId="0" borderId="8" pivotButton="0" quotePrefix="0" xfId="0"/>
    <xf numFmtId="0" fontId="8" fillId="0" borderId="9" pivotButton="0" quotePrefix="0" xfId="0"/>
    <xf numFmtId="0" fontId="8" fillId="0" borderId="10" pivotButton="0" quotePrefix="0" xfId="0"/>
    <xf numFmtId="0" fontId="8" fillId="0" borderId="11" pivotButton="0" quotePrefix="0" xfId="0"/>
    <xf numFmtId="0" fontId="8" fillId="0" borderId="12" pivotButton="0" quotePrefix="0" xfId="0"/>
    <xf numFmtId="0" fontId="8" fillId="0" borderId="3" applyAlignment="1" pivotButton="0" quotePrefix="0" xfId="0">
      <alignment horizontal="right"/>
    </xf>
    <xf numFmtId="0" fontId="8" fillId="0" borderId="13" pivotButton="0" quotePrefix="0" xfId="0"/>
    <xf numFmtId="0" fontId="8" fillId="3" borderId="14" applyAlignment="1" pivotButton="0" quotePrefix="0" xfId="0">
      <alignment horizontal="center"/>
    </xf>
    <xf numFmtId="0" fontId="9" fillId="0" borderId="0" applyAlignment="1" pivotButton="0" quotePrefix="0" xfId="0">
      <alignment horizontal="right"/>
    </xf>
    <xf numFmtId="0" fontId="8" fillId="0" borderId="15" pivotButton="0" quotePrefix="0" xfId="0"/>
    <xf numFmtId="0" fontId="9" fillId="0" borderId="0" applyAlignment="1" pivotButton="0" quotePrefix="0" xfId="0">
      <alignment wrapText="1"/>
    </xf>
    <xf numFmtId="0" fontId="8" fillId="0" borderId="12" applyAlignment="1" pivotButton="0" quotePrefix="0" xfId="0">
      <alignment horizontal="center" textRotation="90" wrapText="1"/>
    </xf>
    <xf numFmtId="0" fontId="8" fillId="0" borderId="5" applyAlignment="1" pivotButton="0" quotePrefix="0" xfId="0">
      <alignment horizontal="center" textRotation="90" wrapText="1"/>
    </xf>
    <xf numFmtId="0" fontId="8" fillId="0" borderId="5" applyAlignment="1" pivotButton="0" quotePrefix="0" xfId="0">
      <alignment horizontal="center" textRotation="90"/>
    </xf>
    <xf numFmtId="0" fontId="8" fillId="0" borderId="9" applyAlignment="1" pivotButton="0" quotePrefix="0" xfId="0">
      <alignment horizontal="center" textRotation="90"/>
    </xf>
    <xf numFmtId="0" fontId="8" fillId="0" borderId="18" applyAlignment="1" pivotButton="0" quotePrefix="0" xfId="0">
      <alignment horizontal="center" textRotation="90"/>
    </xf>
    <xf numFmtId="0" fontId="7" fillId="0" borderId="19" applyAlignment="1" pivotButton="0" quotePrefix="0" xfId="0">
      <alignment horizontal="center"/>
    </xf>
    <xf numFmtId="0" fontId="8" fillId="3" borderId="0" pivotButton="0" quotePrefix="0" xfId="0"/>
    <xf numFmtId="0" fontId="8" fillId="0" borderId="20" applyAlignment="1" pivotButton="0" quotePrefix="0" xfId="0">
      <alignment horizontal="center"/>
    </xf>
    <xf numFmtId="0" fontId="8" fillId="0" borderId="21" applyAlignment="1" pivotButton="0" quotePrefix="0" xfId="0">
      <alignment horizontal="center"/>
    </xf>
    <xf numFmtId="0" fontId="8" fillId="0" borderId="22" applyAlignment="1" pivotButton="0" quotePrefix="0" xfId="0">
      <alignment horizontal="center"/>
    </xf>
    <xf numFmtId="0" fontId="8" fillId="0" borderId="23" applyAlignment="1" pivotButton="0" quotePrefix="0" xfId="0">
      <alignment horizontal="center"/>
    </xf>
    <xf numFmtId="0" fontId="7" fillId="0" borderId="16" applyAlignment="1" pivotButton="0" quotePrefix="0" xfId="0">
      <alignment horizontal="center"/>
    </xf>
    <xf numFmtId="0" fontId="9" fillId="0" borderId="5" pivotButton="0" quotePrefix="0" xfId="0"/>
    <xf numFmtId="0" fontId="10" fillId="0" borderId="0" pivotButton="0" quotePrefix="0" xfId="0"/>
    <xf numFmtId="0" fontId="8" fillId="3" borderId="24" pivotButton="0" quotePrefix="0" xfId="0"/>
    <xf numFmtId="0" fontId="8" fillId="3" borderId="25" pivotButton="0" quotePrefix="0" xfId="0"/>
    <xf numFmtId="0" fontId="8" fillId="3" borderId="26" pivotButton="0" quotePrefix="0" xfId="0"/>
    <xf numFmtId="0" fontId="8" fillId="0" borderId="12" applyAlignment="1" pivotButton="0" quotePrefix="0" xfId="0">
      <alignment horizontal="center"/>
    </xf>
    <xf numFmtId="0" fontId="8" fillId="0" borderId="9" applyAlignment="1" pivotButton="0" quotePrefix="0" xfId="0">
      <alignment horizontal="center"/>
    </xf>
    <xf numFmtId="0" fontId="8" fillId="0" borderId="5" applyAlignment="1" pivotButton="0" quotePrefix="0" xfId="0">
      <alignment horizontal="center"/>
    </xf>
    <xf numFmtId="0" fontId="8" fillId="0" borderId="27" applyAlignment="1" pivotButton="0" quotePrefix="0" xfId="0">
      <alignment horizontal="center"/>
    </xf>
    <xf numFmtId="0" fontId="8" fillId="0" borderId="28" applyAlignment="1" pivotButton="0" quotePrefix="0" xfId="0">
      <alignment horizontal="center"/>
    </xf>
    <xf numFmtId="0" fontId="8" fillId="0" borderId="18" applyAlignment="1" pivotButton="0" quotePrefix="0" xfId="0">
      <alignment horizontal="center"/>
    </xf>
    <xf numFmtId="0" fontId="8" fillId="0" borderId="1" pivotButton="0" quotePrefix="0" xfId="0"/>
    <xf numFmtId="0" fontId="8" fillId="0" borderId="29" pivotButton="0" quotePrefix="0" xfId="0"/>
    <xf numFmtId="2" fontId="8" fillId="0" borderId="30" pivotButton="0" quotePrefix="0" xfId="0"/>
    <xf numFmtId="1" fontId="8" fillId="0" borderId="31" applyAlignment="1" pivotButton="0" quotePrefix="0" xfId="0">
      <alignment horizontal="center"/>
    </xf>
    <xf numFmtId="1" fontId="8" fillId="0" borderId="13" applyAlignment="1" pivotButton="0" quotePrefix="0" xfId="0">
      <alignment horizontal="center"/>
    </xf>
    <xf numFmtId="1" fontId="8" fillId="0" borderId="4" applyAlignment="1" pivotButton="0" quotePrefix="0" xfId="0">
      <alignment horizontal="center"/>
    </xf>
    <xf numFmtId="0" fontId="8" fillId="0" borderId="32" applyAlignment="1" pivotButton="0" quotePrefix="0" xfId="0">
      <alignment horizontal="center"/>
    </xf>
    <xf numFmtId="0" fontId="8" fillId="0" borderId="33" applyAlignment="1" pivotButton="0" quotePrefix="0" xfId="0">
      <alignment horizontal="center"/>
    </xf>
    <xf numFmtId="0" fontId="8" fillId="0" borderId="34" applyAlignment="1" pivotButton="0" quotePrefix="0" xfId="0">
      <alignment horizontal="center"/>
    </xf>
    <xf numFmtId="165" fontId="8" fillId="0" borderId="32" pivotButton="0" quotePrefix="0" xfId="0"/>
    <xf numFmtId="165" fontId="8" fillId="0" borderId="33" pivotButton="0" quotePrefix="0" xfId="0"/>
    <xf numFmtId="165" fontId="8" fillId="0" borderId="35" pivotButton="0" quotePrefix="0" xfId="0"/>
    <xf numFmtId="0" fontId="8" fillId="0" borderId="36" pivotButton="0" quotePrefix="0" xfId="0"/>
    <xf numFmtId="0" fontId="8" fillId="0" borderId="37" pivotButton="0" quotePrefix="0" xfId="0"/>
    <xf numFmtId="2" fontId="8" fillId="0" borderId="10" pivotButton="0" quotePrefix="0" xfId="0"/>
    <xf numFmtId="1" fontId="8" fillId="0" borderId="3" applyAlignment="1" pivotButton="0" quotePrefix="0" xfId="0">
      <alignment horizontal="center"/>
    </xf>
    <xf numFmtId="1" fontId="8" fillId="0" borderId="6" applyAlignment="1" pivotButton="0" quotePrefix="0" xfId="0">
      <alignment horizontal="center"/>
    </xf>
    <xf numFmtId="1" fontId="8" fillId="0" borderId="36" applyAlignment="1" pivotButton="0" quotePrefix="0" xfId="0">
      <alignment horizontal="center"/>
    </xf>
    <xf numFmtId="0" fontId="8" fillId="0" borderId="3" applyAlignment="1" pivotButton="0" quotePrefix="0" xfId="0">
      <alignment horizontal="center"/>
    </xf>
    <xf numFmtId="0" fontId="8" fillId="0" borderId="6" applyAlignment="1" pivotButton="0" quotePrefix="0" xfId="0">
      <alignment horizontal="center"/>
    </xf>
    <xf numFmtId="0" fontId="8" fillId="0" borderId="36" applyAlignment="1" pivotButton="0" quotePrefix="0" xfId="0">
      <alignment horizontal="center"/>
    </xf>
    <xf numFmtId="165" fontId="8" fillId="0" borderId="3" pivotButton="0" quotePrefix="0" xfId="0"/>
    <xf numFmtId="165" fontId="8" fillId="0" borderId="6" pivotButton="0" quotePrefix="0" xfId="0"/>
    <xf numFmtId="165" fontId="8" fillId="0" borderId="38" pivotButton="0" quotePrefix="0" xfId="0"/>
    <xf numFmtId="0" fontId="8" fillId="0" borderId="39" pivotButton="0" quotePrefix="0" xfId="0"/>
    <xf numFmtId="0" fontId="8" fillId="0" borderId="40" pivotButton="0" quotePrefix="0" xfId="0"/>
    <xf numFmtId="0" fontId="8" fillId="0" borderId="41" pivotButton="0" quotePrefix="0" xfId="0"/>
    <xf numFmtId="0" fontId="8" fillId="0" borderId="42" pivotButton="0" quotePrefix="0" xfId="0"/>
    <xf numFmtId="2" fontId="8" fillId="0" borderId="27" pivotButton="0" quotePrefix="0" xfId="0"/>
    <xf numFmtId="1" fontId="8" fillId="0" borderId="12" applyAlignment="1" pivotButton="0" quotePrefix="0" xfId="0">
      <alignment horizontal="center"/>
    </xf>
    <xf numFmtId="1" fontId="8" fillId="0" borderId="5" applyAlignment="1" pivotButton="0" quotePrefix="0" xfId="0">
      <alignment horizontal="center"/>
    </xf>
    <xf numFmtId="1" fontId="8" fillId="0" borderId="28" applyAlignment="1" pivotButton="0" quotePrefix="0" xfId="0">
      <alignment horizontal="center"/>
    </xf>
    <xf numFmtId="0" fontId="8" fillId="0" borderId="43" applyAlignment="1" pivotButton="0" quotePrefix="0" xfId="0">
      <alignment horizontal="center"/>
    </xf>
    <xf numFmtId="0" fontId="8" fillId="0" borderId="44" applyAlignment="1" pivotButton="0" quotePrefix="0" xfId="0">
      <alignment horizontal="center"/>
    </xf>
    <xf numFmtId="0" fontId="8" fillId="0" borderId="45" applyAlignment="1" pivotButton="0" quotePrefix="0" xfId="0">
      <alignment horizontal="center"/>
    </xf>
    <xf numFmtId="165" fontId="8" fillId="0" borderId="43" pivotButton="0" quotePrefix="0" xfId="0"/>
    <xf numFmtId="165" fontId="8" fillId="0" borderId="44" pivotButton="0" quotePrefix="0" xfId="0"/>
    <xf numFmtId="165" fontId="8" fillId="0" borderId="46" pivotButton="0" quotePrefix="0" xfId="0"/>
    <xf numFmtId="0" fontId="8" fillId="0" borderId="32" applyAlignment="1" pivotButton="0" quotePrefix="0" xfId="0">
      <alignment horizontal="left"/>
    </xf>
    <xf numFmtId="0" fontId="7" fillId="0" borderId="33" pivotButton="0" quotePrefix="0" xfId="0"/>
    <xf numFmtId="0" fontId="7" fillId="0" borderId="35" applyAlignment="1" pivotButton="0" quotePrefix="0" xfId="0">
      <alignment wrapText="1"/>
    </xf>
    <xf numFmtId="165" fontId="7" fillId="0" borderId="0" pivotButton="0" quotePrefix="0" xfId="0"/>
    <xf numFmtId="0" fontId="9" fillId="0" borderId="0" applyAlignment="1" pivotButton="0" quotePrefix="0" xfId="0">
      <alignment horizontal="left"/>
    </xf>
    <xf numFmtId="0" fontId="8" fillId="0" borderId="3" applyAlignment="1" pivotButton="0" quotePrefix="0" xfId="0">
      <alignment horizontal="left"/>
    </xf>
    <xf numFmtId="2" fontId="8" fillId="0" borderId="6" pivotButton="0" quotePrefix="0" xfId="0"/>
    <xf numFmtId="0" fontId="8" fillId="0" borderId="38" pivotButton="0" quotePrefix="0" xfId="0"/>
    <xf numFmtId="0" fontId="7" fillId="0" borderId="3" applyAlignment="1" pivotButton="0" quotePrefix="0" xfId="0">
      <alignment horizontal="left"/>
    </xf>
    <xf numFmtId="0" fontId="7" fillId="0" borderId="6" pivotButton="0" quotePrefix="0" xfId="0"/>
    <xf numFmtId="0" fontId="7" fillId="0" borderId="38" pivotButton="0" quotePrefix="0" xfId="0"/>
    <xf numFmtId="1" fontId="8" fillId="0" borderId="6" pivotButton="0" quotePrefix="0" xfId="0"/>
    <xf numFmtId="1" fontId="8" fillId="0" borderId="38" pivotButton="0" quotePrefix="0" xfId="0"/>
    <xf numFmtId="0" fontId="8" fillId="0" borderId="43" applyAlignment="1" pivotButton="0" quotePrefix="0" xfId="0">
      <alignment horizontal="left"/>
    </xf>
    <xf numFmtId="0" fontId="8" fillId="0" borderId="44" pivotButton="0" quotePrefix="0" xfId="0"/>
    <xf numFmtId="0" fontId="8" fillId="0" borderId="46" pivotButton="0" quotePrefix="0" xfId="0"/>
    <xf numFmtId="0" fontId="11" fillId="0" borderId="50" applyAlignment="1" pivotButton="0" quotePrefix="0" xfId="0">
      <alignment wrapText="1"/>
    </xf>
    <xf numFmtId="0" fontId="0" fillId="0" borderId="50" applyAlignment="1" pivotButton="0" quotePrefix="0" xfId="0">
      <alignment wrapText="1"/>
    </xf>
    <xf numFmtId="0" fontId="4" fillId="0" borderId="50" applyAlignment="1" pivotButton="0" quotePrefix="0" xfId="0">
      <alignment wrapText="1"/>
    </xf>
    <xf numFmtId="0" fontId="4" fillId="0" borderId="50" applyAlignment="1" pivotButton="0" quotePrefix="0" xfId="0">
      <alignment vertical="top" wrapText="1"/>
    </xf>
    <xf numFmtId="0" fontId="3" fillId="0" borderId="50" applyAlignment="1" pivotButton="0" quotePrefix="0" xfId="0">
      <alignment wrapText="1"/>
    </xf>
    <xf numFmtId="0" fontId="12" fillId="0" borderId="0" applyAlignment="1" pivotButton="0" quotePrefix="0" xfId="0">
      <alignment horizontal="left" vertical="center"/>
    </xf>
    <xf numFmtId="0" fontId="13" fillId="0" borderId="0" pivotButton="0" quotePrefix="0" xfId="0"/>
    <xf numFmtId="0" fontId="14" fillId="4" borderId="51" applyAlignment="1" pivotButton="0" quotePrefix="0" xfId="0">
      <alignment horizontal="center" vertical="center" wrapText="1"/>
    </xf>
    <xf numFmtId="0" fontId="14" fillId="5" borderId="51" applyAlignment="1" pivotButton="0" quotePrefix="0" xfId="0">
      <alignment horizontal="center" vertical="center" wrapText="1"/>
    </xf>
    <xf numFmtId="0" fontId="14" fillId="6" borderId="51" applyAlignment="1" pivotButton="0" quotePrefix="0" xfId="0">
      <alignment horizontal="center" vertical="center" wrapText="1"/>
    </xf>
    <xf numFmtId="0" fontId="14" fillId="7" borderId="51" applyAlignment="1" pivotButton="0" quotePrefix="0" xfId="0">
      <alignment horizontal="center" vertical="center" wrapText="1"/>
    </xf>
    <xf numFmtId="0" fontId="14" fillId="8" borderId="51" applyAlignment="1" pivotButton="0" quotePrefix="0" xfId="0">
      <alignment horizontal="center" vertical="center" wrapText="1"/>
    </xf>
    <xf numFmtId="0" fontId="14" fillId="9" borderId="51" applyAlignment="1" pivotButton="0" quotePrefix="0" xfId="0">
      <alignment horizontal="center" vertical="center" wrapText="1"/>
    </xf>
    <xf numFmtId="0" fontId="15" fillId="5" borderId="51" applyAlignment="1" pivotButton="0" quotePrefix="0" xfId="0">
      <alignment horizontal="center" vertical="center" wrapText="1"/>
    </xf>
    <xf numFmtId="0" fontId="16" fillId="10" borderId="51" applyAlignment="1" pivotButton="0" quotePrefix="0" xfId="0">
      <alignment horizontal="left" vertical="top" wrapText="1"/>
    </xf>
    <xf numFmtId="0" fontId="0" fillId="10" borderId="51" applyAlignment="1" pivotButton="0" quotePrefix="0" xfId="0">
      <alignment horizontal="left" vertical="top" wrapText="1"/>
    </xf>
    <xf numFmtId="0" fontId="15" fillId="6" borderId="51" applyAlignment="1" pivotButton="0" quotePrefix="0" xfId="0">
      <alignment horizontal="center" vertical="center" wrapText="1"/>
    </xf>
    <xf numFmtId="0" fontId="16" fillId="11" borderId="51" applyAlignment="1" pivotButton="0" quotePrefix="0" xfId="0">
      <alignment horizontal="left" vertical="top" wrapText="1"/>
    </xf>
    <xf numFmtId="0" fontId="15" fillId="7" borderId="51" applyAlignment="1" pivotButton="0" quotePrefix="0" xfId="0">
      <alignment horizontal="center" vertical="center" wrapText="1"/>
    </xf>
    <xf numFmtId="0" fontId="15" fillId="8" borderId="51" applyAlignment="1" pivotButton="0" quotePrefix="0" xfId="0">
      <alignment horizontal="center" vertical="center" wrapText="1"/>
    </xf>
    <xf numFmtId="0" fontId="15" fillId="9" borderId="51" applyAlignment="1" pivotButton="0" quotePrefix="0" xfId="0">
      <alignment horizontal="center" vertical="center" wrapText="1"/>
    </xf>
    <xf numFmtId="0" fontId="15" fillId="0" borderId="0" pivotButton="0" quotePrefix="0" xfId="0"/>
    <xf numFmtId="0" fontId="0" fillId="0" borderId="52" pivotButton="0" quotePrefix="0" xfId="0"/>
    <xf numFmtId="0" fontId="0" fillId="0" borderId="53" pivotButton="0" quotePrefix="0" xfId="0"/>
    <xf numFmtId="0" fontId="16" fillId="9" borderId="51" applyAlignment="1" pivotButton="0" quotePrefix="0" xfId="0">
      <alignment horizontal="center" vertical="center" wrapText="1"/>
    </xf>
    <xf numFmtId="0" fontId="16" fillId="0" borderId="51" applyAlignment="1" pivotButton="0" quotePrefix="0" xfId="0">
      <alignment horizontal="center" vertical="center" wrapText="1"/>
    </xf>
    <xf numFmtId="0" fontId="16" fillId="0" borderId="51" applyAlignment="1" pivotButton="0" quotePrefix="0" xfId="0">
      <alignment horizontal="left" vertical="top" wrapText="1"/>
    </xf>
    <xf numFmtId="0" fontId="12" fillId="0" borderId="0" pivotButton="0" quotePrefix="0" xfId="0"/>
    <xf numFmtId="0" fontId="17" fillId="5" borderId="51" pivotButton="0" quotePrefix="0" xfId="0"/>
    <xf numFmtId="0" fontId="17" fillId="0" borderId="51" applyAlignment="1" pivotButton="0" quotePrefix="0" xfId="0">
      <alignment horizontal="center" vertical="center" wrapText="1"/>
    </xf>
    <xf numFmtId="0" fontId="17" fillId="6" borderId="51" pivotButton="0" quotePrefix="0" xfId="0"/>
    <xf numFmtId="0" fontId="17" fillId="7" borderId="51" pivotButton="0" quotePrefix="0" xfId="0"/>
    <xf numFmtId="0" fontId="17" fillId="8" borderId="51" pivotButton="0" quotePrefix="0" xfId="0"/>
    <xf numFmtId="0" fontId="17" fillId="9" borderId="51" pivotButton="0" quotePrefix="0" xfId="0"/>
    <xf numFmtId="0" fontId="18" fillId="0" borderId="51" pivotButton="0" quotePrefix="0" xfId="0"/>
    <xf numFmtId="0" fontId="17" fillId="0" borderId="51" applyAlignment="1" pivotButton="0" quotePrefix="0" xfId="0">
      <alignment horizontal="left" vertical="top" wrapText="1"/>
    </xf>
    <xf numFmtId="0" fontId="18" fillId="11" borderId="51" pivotButton="0" quotePrefix="0" xfId="0"/>
    <xf numFmtId="0" fontId="17" fillId="0" borderId="51" pivotButton="0" quotePrefix="0" xfId="0"/>
    <xf numFmtId="0" fontId="13" fillId="0" borderId="0" applyAlignment="1" pivotButton="0" quotePrefix="0" xfId="0">
      <alignment vertical="top" wrapText="1"/>
    </xf>
    <xf numFmtId="0" fontId="19" fillId="0" borderId="0" applyAlignment="1" pivotButton="0" quotePrefix="0" xfId="0">
      <alignment horizontal="left" vertical="center" wrapText="1"/>
    </xf>
    <xf numFmtId="0" fontId="14" fillId="12" borderId="56" applyAlignment="1" pivotButton="0" quotePrefix="0" xfId="0">
      <alignment horizontal="center" vertical="center" wrapText="1"/>
    </xf>
    <xf numFmtId="0" fontId="0" fillId="13" borderId="56" applyAlignment="1" pivotButton="0" quotePrefix="0" xfId="0">
      <alignment horizontal="center" vertical="center" wrapText="1"/>
    </xf>
    <xf numFmtId="0" fontId="0" fillId="0" borderId="56" applyAlignment="1" pivotButton="0" quotePrefix="0" xfId="0">
      <alignment horizontal="center" vertical="center" wrapText="1"/>
    </xf>
    <xf numFmtId="0" fontId="13" fillId="0" borderId="0" applyAlignment="1" pivotButton="0" quotePrefix="0" xfId="0">
      <alignment horizontal="center" vertical="center" wrapText="1"/>
    </xf>
    <xf numFmtId="0" fontId="14" fillId="14" borderId="0" applyAlignment="1" pivotButton="0" quotePrefix="0" xfId="0">
      <alignment horizontal="left" vertical="center" wrapText="1"/>
    </xf>
    <xf numFmtId="0" fontId="13" fillId="0" borderId="56" applyAlignment="1" pivotButton="0" quotePrefix="0" xfId="0">
      <alignment horizontal="center" vertical="center" wrapText="1"/>
    </xf>
    <xf numFmtId="166" fontId="13" fillId="0" borderId="0" applyAlignment="1" pivotButton="0" quotePrefix="0" xfId="0">
      <alignment horizontal="center" vertical="center" wrapText="1"/>
    </xf>
    <xf numFmtId="0" fontId="13" fillId="0" borderId="0" applyAlignment="1" pivotButton="0" quotePrefix="0" xfId="0">
      <alignment horizontal="left" vertical="center" wrapText="1"/>
    </xf>
    <xf numFmtId="0" fontId="20" fillId="15" borderId="56" applyAlignment="1" pivotButton="0" quotePrefix="0" xfId="0">
      <alignment horizontal="center" vertical="center" wrapText="1"/>
    </xf>
    <xf numFmtId="0" fontId="21" fillId="0" borderId="56" applyAlignment="1" pivotButton="0" quotePrefix="0" xfId="0">
      <alignment vertical="top" wrapText="1"/>
    </xf>
    <xf numFmtId="0" fontId="22" fillId="16" borderId="56" applyAlignment="1" pivotButton="0" quotePrefix="0" xfId="0">
      <alignment horizontal="center" vertical="center"/>
    </xf>
    <xf numFmtId="0" fontId="22" fillId="17" borderId="56" applyAlignment="1" pivotButton="0" quotePrefix="0" xfId="0">
      <alignment horizontal="center" vertical="center"/>
    </xf>
    <xf numFmtId="0" fontId="22" fillId="18" borderId="56" applyAlignment="1" pivotButton="0" quotePrefix="0" xfId="0">
      <alignment horizontal="center" vertical="center"/>
    </xf>
    <xf numFmtId="0" fontId="22" fillId="19" borderId="56" applyAlignment="1" pivotButton="0" quotePrefix="0" xfId="0">
      <alignment horizontal="center" vertical="center"/>
    </xf>
    <xf numFmtId="0" fontId="22" fillId="20" borderId="56" applyAlignment="1" pivotButton="0" quotePrefix="0" xfId="0">
      <alignment horizontal="center" vertical="center"/>
    </xf>
    <xf numFmtId="0" fontId="1" fillId="0" borderId="0" pivotButton="0" quotePrefix="0" xfId="0"/>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styles" Target="styles.xml" Id="rId59"/><Relationship Type="http://schemas.openxmlformats.org/officeDocument/2006/relationships/theme" Target="theme/theme1.xml" Id="rId6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2" customWidth="1" min="1" max="1"/>
    <col width="60" customWidth="1" min="2" max="2"/>
    <col width="50" customWidth="1" min="3" max="3"/>
    <col width="12" customWidth="1" min="4" max="4"/>
  </cols>
  <sheetData>
    <row r="1">
      <c r="A1" s="1" t="inlineStr">
        <is>
          <t>c1v Self-Application — Workbook</t>
        </is>
      </c>
    </row>
    <row r="2">
      <c r="A2" s="2" t="inlineStr">
        <is>
          <t>Per-module matrix artifacts from the dogfooding run (M1 → M8 + Synthesis)</t>
        </is>
      </c>
    </row>
    <row r="4">
      <c r="A4" s="3" t="inlineStr">
        <is>
          <t>Section</t>
        </is>
      </c>
      <c r="B4" s="3" t="inlineStr">
        <is>
          <t>Source File</t>
        </is>
      </c>
      <c r="C4" s="3" t="inlineStr">
        <is>
          <t>Sheets In Master</t>
        </is>
      </c>
      <c r="D4" s="3" t="inlineStr">
        <is>
          <t>Status</t>
        </is>
      </c>
    </row>
    <row r="5">
      <c r="A5" t="inlineStr">
        <is>
          <t>M1 — Defining Scope</t>
        </is>
      </c>
      <c r="B5" t="inlineStr">
        <is>
          <t>/Users/davidancor/Projects/c1v/plans/dogfooding-artifact-deck/portfolio/M1-data-flows.xlsx</t>
        </is>
      </c>
      <c r="C5" t="inlineStr">
        <is>
          <t>M1_DataFlows</t>
        </is>
      </c>
      <c r="D5" t="inlineStr">
        <is>
          <t>ok</t>
        </is>
      </c>
    </row>
    <row r="6">
      <c r="A6" t="inlineStr">
        <is>
          <t>M2 — Requirements / Constants / NFRs</t>
        </is>
      </c>
      <c r="B6" t="inlineStr">
        <is>
          <t>/Users/davidancor/Projects/c1v/plans/dogfooding-artifact-deck/portfolio/M2-requirements.xlsx</t>
        </is>
      </c>
      <c r="C6" t="inlineStr">
        <is>
          <t>M2_Requirements, M2_Constants, M2_NFRs</t>
        </is>
      </c>
      <c r="D6" t="inlineStr">
        <is>
          <t>ok</t>
        </is>
      </c>
    </row>
    <row r="7">
      <c r="A7" t="inlineStr">
        <is>
          <t>M3 — Functional Flow Block Diagram</t>
        </is>
      </c>
      <c r="B7" t="inlineStr">
        <is>
          <t>/Users/davidancor/Projects/c1v/plans/dogfooding-artifact-deck/portfolio/M3-ffbd.xlsx</t>
        </is>
      </c>
      <c r="C7" t="inlineStr">
        <is>
          <t>M3_Functions, M3_Arrows, M3_LogicGates, M3_DataBlocks, M3_CrossCutting</t>
        </is>
      </c>
      <c r="D7" t="inlineStr">
        <is>
          <t>ok</t>
        </is>
      </c>
    </row>
    <row r="8">
      <c r="A8" t="inlineStr">
        <is>
          <t>M4 — Decision Network</t>
        </is>
      </c>
      <c r="B8" t="inlineStr">
        <is>
          <t>/Users/davidancor/Projects/c1v/plans/dogfooding-artifact-deck/portfolio/M4-decision-network.xlsx</t>
        </is>
      </c>
      <c r="C8" t="inlineStr">
        <is>
          <t>M4_Summary, M4_DecisionNodes, M4_Scores, M4_Audit</t>
        </is>
      </c>
      <c r="D8" t="inlineStr">
        <is>
          <t>ok</t>
        </is>
      </c>
    </row>
    <row r="9">
      <c r="A9" t="inlineStr">
        <is>
          <t>M5 — Form / Function</t>
        </is>
      </c>
      <c r="B9" t="inlineStr">
        <is>
          <t>/Users/davidancor/Projects/c1v/plans/dogfooding-artifact-deck/portfolio/M5-form-function.xlsx</t>
        </is>
      </c>
      <c r="C9" t="inlineStr">
        <is>
          <t>M5_Forms, M5_Functions, M5_ConceptMatrix, M5_Scoring, M5_OperandProcess, M5_Concepts</t>
        </is>
      </c>
      <c r="D9" t="inlineStr">
        <is>
          <t>ok</t>
        </is>
      </c>
    </row>
    <row r="10">
      <c r="A10" t="inlineStr">
        <is>
          <t>M6 — House of Quality (kb-upgrade-v2)</t>
        </is>
      </c>
      <c r="B10" t="inlineStr">
        <is>
          <t>/Users/davidancor/Projects/c1v/system-design/kb-upgrade-v2/module-6-qfd/c1v_QFD.xlsx</t>
        </is>
      </c>
      <c r="C10" t="inlineStr">
        <is>
          <t>M6_QFD_v2_QFD Template, M6_QFD_v2_QFD Sample, M6_QFD_v2_Sample References</t>
        </is>
      </c>
      <c r="D10" t="inlineStr">
        <is>
          <t>ok</t>
        </is>
      </c>
    </row>
    <row r="11">
      <c r="A11" t="inlineStr">
        <is>
          <t>M6 — House of Quality (self-app run)</t>
        </is>
      </c>
      <c r="B11" t="inlineStr">
        <is>
          <t>/Users/davidancor/Projects/c1v/.planning/runs/self-application/module-6/hoq.v1.xlsx</t>
        </is>
      </c>
      <c r="C11" t="inlineStr">
        <is>
          <t>M6_HoQ_run_QFD Template, M6_HoQ_run_QFD Sample, M6_HoQ_run_Sample References</t>
        </is>
      </c>
      <c r="D11" t="inlineStr">
        <is>
          <t>ok</t>
        </is>
      </c>
    </row>
    <row r="12">
      <c r="A12" t="inlineStr">
        <is>
          <t>M7 — N-Squared Interface Chart</t>
        </is>
      </c>
      <c r="B12" t="inlineStr">
        <is>
          <t>/Users/davidancor/Projects/c1v/system-design/kb-upgrade-v2/module-7-interfaces/n2_chart.xlsx</t>
        </is>
      </c>
      <c r="C12" t="inlineStr">
        <is>
          <t>M7_N2_N2 Chart, M7_N2_Analysis</t>
        </is>
      </c>
      <c r="D12" t="inlineStr">
        <is>
          <t>ok</t>
        </is>
      </c>
    </row>
    <row r="13">
      <c r="A13" t="inlineStr">
        <is>
          <t>M7 — Interface Matrix</t>
        </is>
      </c>
      <c r="B13" t="inlineStr">
        <is>
          <t>/Users/davidancor/Projects/c1v/system-design/kb-upgrade-v2/module-7-interfaces/interface_matrix.xlsx</t>
        </is>
      </c>
      <c r="C13" t="inlineStr">
        <is>
          <t>M7_IF_Instructions, M7_IF_Founder Web UI, M7_IF_Session Manager, M7_IF_Agent Orchestrator, M7_IF_LLM Provider Layer, M7_IF_Prompt Cache, M7_IF_Spec Generator, M7_IF_Traceback Store, M7_IF_CLI Bundle Emitter, M7_IF_Probe SDK, M7_IF_Metrics Collector, M7_IF_Metric Store, M7_IF_Recommendation Engine, M7_IF_Auth Credential Vault, M7_IF_Audit Log Store</t>
        </is>
      </c>
      <c r="D13" t="inlineStr">
        <is>
          <t>ok</t>
        </is>
      </c>
    </row>
    <row r="14">
      <c r="A14" t="inlineStr">
        <is>
          <t>M8 — FMEA Table (early)</t>
        </is>
      </c>
      <c r="B14" t="inlineStr">
        <is>
          <t>/Users/davidancor/Projects/c1v/system-design/kb-upgrade-v2/module-8-risk/fmea_table.xlsx</t>
        </is>
      </c>
      <c r="C14" t="inlineStr">
        <is>
          <t>M8_FMEA_early_FMEA Master, M8_FMEA_early_Rating Scales, M8_FMEA_early_Stoplight Before, M8_FMEA_early_Stoplight After</t>
        </is>
      </c>
      <c r="D14" t="inlineStr">
        <is>
          <t>ok</t>
        </is>
      </c>
    </row>
    <row r="15">
      <c r="A15" t="inlineStr">
        <is>
          <t>M8 — FMEA Residual</t>
        </is>
      </c>
      <c r="B15" t="inlineStr">
        <is>
          <t>/Users/davidancor/Projects/c1v/system-design/kb-upgrade-v2/module-8-risk/fmea_residual.v1.xlsx</t>
        </is>
      </c>
      <c r="C15" t="inlineStr">
        <is>
          <t>M8_FMEA_residual_FMEA Master, M8_FMEA_residual_Rating Scales, M8_FMEA_residual_Stoplight B..., M8_FMEA_residual_Stoplight A...</t>
        </is>
      </c>
      <c r="D15" t="inlineStr">
        <is>
          <t>ok</t>
        </is>
      </c>
    </row>
    <row r="16">
      <c r="A16" t="inlineStr">
        <is>
          <t>Synthesis — Architecture Recommendation</t>
        </is>
      </c>
      <c r="B16" t="inlineStr">
        <is>
          <t>/Users/davidancor/Projects/c1v/plans/dogfooding-artifact-deck/portfolio/synthesis.xlsx</t>
        </is>
      </c>
      <c r="C16" t="inlineStr">
        <is>
          <t>Synth_Summary, Synth_Decisions, Synth_Pareto, Synth_Risks, Synth_LatencyBudget, Synth_ResidualRisk, Synth_NextSteps</t>
        </is>
      </c>
      <c r="D16" t="inlineStr">
        <is>
          <t>ok</t>
        </is>
      </c>
    </row>
    <row r="19">
      <c r="A19" s="4" t="inlineStr">
        <is>
          <t>Generated by</t>
        </is>
      </c>
      <c r="B19" t="inlineStr">
        <is>
          <t>scripts/artifact-generators/assemblers/assemble-master-xlsx.py</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5" t="inlineStr">
        <is>
          <t>id</t>
        </is>
      </c>
      <c r="B1" s="5" t="inlineStr">
        <is>
          <t>name</t>
        </is>
      </c>
      <c r="C1" s="5" t="inlineStr">
        <is>
          <t>description</t>
        </is>
      </c>
      <c r="D1" s="5" t="inlineStr">
        <is>
          <t>source</t>
        </is>
      </c>
      <c r="E1" s="5" t="inlineStr">
        <is>
          <t>sink</t>
        </is>
      </c>
      <c r="F1" s="5" t="inlineStr">
        <is>
          <t>payload_shape</t>
        </is>
      </c>
      <c r="G1" s="5" t="inlineStr">
        <is>
          <t>criticality</t>
        </is>
      </c>
      <c r="H1" s="5" t="inlineStr">
        <is>
          <t>pii_class</t>
        </is>
      </c>
      <c r="I1" s="5" t="inlineStr">
        <is>
          <t>encryption_at_rest_required</t>
        </is>
      </c>
      <c r="J1" s="5" t="inlineStr">
        <is>
          <t>encryption_in_transit_required</t>
        </is>
      </c>
    </row>
    <row r="2">
      <c r="A2" s="6" t="inlineStr">
        <is>
          <t>DE.01</t>
        </is>
      </c>
      <c r="B2" s="6" t="inlineStr">
        <is>
          <t>Founder Idea Prompt</t>
        </is>
      </c>
      <c r="C2" s="6" t="inlineStr">
        <is>
          <t>One-sentence product idea submitted by a Founder to seed spec generation.</t>
        </is>
      </c>
      <c r="D2" s="6" t="inlineStr">
        <is>
          <t>FOUNDERS</t>
        </is>
      </c>
      <c r="E2" s="6" t="inlineStr">
        <is>
          <t>SpecGen.FromIdea.Intake</t>
        </is>
      </c>
      <c r="F2" s="6" t="inlineStr">
        <is>
          <t>{"name": "OneSentenceIdea", "fields": [{"name": "text", "type": "string", "optional": false}, {"name": "submitted_by_user_id", "type": "string", "optional": false}, {"name": "project_id", "type": "string", "optional": false}], "format_hint": "json"}</t>
        </is>
      </c>
      <c r="G2" s="6" t="inlineStr">
        <is>
          <t>high</t>
        </is>
      </c>
      <c r="H2" s="6" t="inlineStr">
        <is>
          <t>indirect</t>
        </is>
      </c>
      <c r="I2" s="6" t="b">
        <v>1</v>
      </c>
      <c r="J2" s="6" t="b">
        <v>1</v>
      </c>
    </row>
    <row r="3">
      <c r="A3" s="6" t="inlineStr">
        <is>
          <t>DE.02</t>
        </is>
      </c>
      <c r="B3" s="6" t="inlineStr">
        <is>
          <t>Existing Codebase Read Stream</t>
        </is>
      </c>
      <c r="C3" s="6" t="inlineStr">
        <is>
          <t>Read-only source-tree contents pulled from a customer's VCS for scope inference.</t>
        </is>
      </c>
      <c r="D3" s="6" t="inlineStr">
        <is>
          <t>EXISTING CODEBASES</t>
        </is>
      </c>
      <c r="E3" s="6" t="inlineStr">
        <is>
          <t>SpecGen.FromCode.Clone</t>
        </is>
      </c>
      <c r="F3" s="6" t="inlineStr">
        <is>
          <t>{"name": "RepoSnapshot", "fields": [{"name": "repo_url", "type": "string", "optional": false}, {"name": "commit_sha", "type": "string", "optional": false}, {"name": "file_manifest", "type": "json", "optional": false}]}</t>
        </is>
      </c>
      <c r="G3" s="6" t="inlineStr">
        <is>
          <t>critical</t>
        </is>
      </c>
      <c r="H3" s="6" t="inlineStr">
        <is>
          <t>sensitive</t>
        </is>
      </c>
      <c r="I3" s="6" t="b">
        <v>1</v>
      </c>
      <c r="J3" s="6" t="b">
        <v>1</v>
      </c>
    </row>
    <row r="4">
      <c r="A4" s="6" t="inlineStr">
        <is>
          <t>DE.03</t>
        </is>
      </c>
      <c r="B4" s="6" t="inlineStr">
        <is>
          <t>Draft Spec</t>
        </is>
      </c>
      <c r="C4" s="6" t="inlineStr">
        <is>
          <t>Working-draft PRD/spec emitted by F.2 Generate Spec, consumed by F.3 Review.</t>
        </is>
      </c>
      <c r="D4" s="6" t="inlineStr">
        <is>
          <t>SpecGen.FromIdea</t>
        </is>
      </c>
      <c r="E4" s="6" t="inlineStr">
        <is>
          <t>SpecGen.Versioning.ReviewUI</t>
        </is>
      </c>
      <c r="F4" s="6" t="inlineStr">
        <is>
          <t>{"name": "DraftSpec", "fields": [{"name": "spec_id", "type": "string", "optional": false}, {"name": "version", "type": "string", "optional": false}, {"name": "sections", "type": "json", "optional": false}, {"name": "citations", "type": "json", "optional": false}], "format_hint": "json"}</t>
        </is>
      </c>
      <c r="G4" s="6" t="inlineStr">
        <is>
          <t>high</t>
        </is>
      </c>
      <c r="H4" s="6" t="inlineStr">
        <is>
          <t>indirect</t>
        </is>
      </c>
      <c r="I4" s="6" t="b">
        <v>1</v>
      </c>
      <c r="J4" s="6" t="b">
        <v>1</v>
      </c>
    </row>
    <row r="5">
      <c r="A5" s="6" t="inlineStr">
        <is>
          <t>DE.04</t>
        </is>
      </c>
      <c r="B5" s="6" t="inlineStr">
        <is>
          <t>Review Decision</t>
        </is>
      </c>
      <c r="C5" s="6" t="inlineStr">
        <is>
          <t>Approve/revise decision emitted by a human reviewer at F.3.</t>
        </is>
      </c>
      <c r="D5" s="6" t="inlineStr">
        <is>
          <t>PRODUCT MANAGERS</t>
        </is>
      </c>
      <c r="E5" s="6" t="inlineStr">
        <is>
          <t>SpecGen.Versioning.ReviewUI</t>
        </is>
      </c>
      <c r="F5" s="6" t="inlineStr">
        <is>
          <t>{"name": "ReviewDecision", "fields": [{"name": "decision", "type": "string", "optional": false}, {"name": "comments", "type": "json", "optional": true}, {"name": "reviewer_user_id", "type": "string", "optional": false}]}</t>
        </is>
      </c>
      <c r="G5" s="6" t="inlineStr">
        <is>
          <t>high</t>
        </is>
      </c>
      <c r="H5" s="6" t="inlineStr">
        <is>
          <t>indirect</t>
        </is>
      </c>
      <c r="I5" s="6" t="b">
        <v>1</v>
      </c>
      <c r="J5" s="6" t="b">
        <v>1</v>
      </c>
    </row>
    <row r="6">
      <c r="A6" s="6" t="inlineStr">
        <is>
          <t>DE.05</t>
        </is>
      </c>
      <c r="B6" s="6" t="inlineStr">
        <is>
          <t>Approved Spec</t>
        </is>
      </c>
      <c r="C6" s="6" t="inlineStr">
        <is>
          <t>Approved, immutable spec snapshot handed off to F.4 CLI emitter.</t>
        </is>
      </c>
      <c r="D6" s="6" t="inlineStr">
        <is>
          <t>SpecGen.Versioning</t>
        </is>
      </c>
      <c r="E6" s="6" t="inlineStr">
        <is>
          <t>CliGen.Emitter</t>
        </is>
      </c>
      <c r="F6" s="6" t="inlineStr">
        <is>
          <t>{"name": "ApprovedSpec", "fields": [{"name": "spec_id", "type": "string", "optional": false}, {"name": "version", "type": "string", "optional": false}, {"name": "snapshot", "type": "json", "optional": false}, {"name": "audit_ref", "type": "string", "optional": false}]}</t>
        </is>
      </c>
      <c r="G6" s="6" t="inlineStr">
        <is>
          <t>critical</t>
        </is>
      </c>
      <c r="H6" s="6" t="inlineStr">
        <is>
          <t>indirect</t>
        </is>
      </c>
      <c r="I6" s="6" t="b">
        <v>1</v>
      </c>
      <c r="J6" s="6" t="b">
        <v>1</v>
      </c>
    </row>
    <row r="7">
      <c r="A7" s="6" t="inlineStr">
        <is>
          <t>DE.06</t>
        </is>
      </c>
      <c r="B7" s="6" t="inlineStr">
        <is>
          <t>CLI Bundle</t>
        </is>
      </c>
      <c r="C7" s="6" t="inlineStr">
        <is>
          <t>Emitted CLI command bundle + SKILL.md + CLAUDE.md + MCP tool exports.</t>
        </is>
      </c>
      <c r="D7" s="6" t="inlineStr">
        <is>
          <t>CliGen.Emitter</t>
        </is>
      </c>
      <c r="E7" s="6" t="inlineStr">
        <is>
          <t>IDE / CLI CLIENTS</t>
        </is>
      </c>
      <c r="F7" s="6" t="inlineStr">
        <is>
          <t>{"name": "CliBundle", "fields": [{"name": "bundle_id", "type": "string", "optional": false}, {"name": "commands", "type": "json", "optional": false}, {"name": "skill_md", "type": "string", "optional": false}, {"name": "claude_md", "type": "string", "optional": false}, {"name": "mcp_tools", "type": "json", "optional": false}]}</t>
        </is>
      </c>
      <c r="G7" s="6" t="inlineStr">
        <is>
          <t>high</t>
        </is>
      </c>
      <c r="H7" s="6" t="inlineStr">
        <is>
          <t>none</t>
        </is>
      </c>
      <c r="I7" s="6" t="b">
        <v>0</v>
      </c>
      <c r="J7" s="6" t="b">
        <v>1</v>
      </c>
    </row>
    <row r="8">
      <c r="A8" s="6" t="inlineStr">
        <is>
          <t>DE.07</t>
        </is>
      </c>
      <c r="B8" s="6" t="inlineStr">
        <is>
          <t>Customer System Connection Manifest</t>
        </is>
      </c>
      <c r="C8" s="6" t="inlineStr">
        <is>
          <t>Connection config (read-only credentials) for a customer system being observed by F.5.</t>
        </is>
      </c>
      <c r="D8" s="6" t="inlineStr">
        <is>
          <t>TEAM ADMINS</t>
        </is>
      </c>
      <c r="E8" s="6" t="inlineStr">
        <is>
          <t>Integration.Observability</t>
        </is>
      </c>
      <c r="F8" s="6" t="inlineStr">
        <is>
          <t>{"name": "ConnectionManifest", "fields": [{"name": "connection_id", "type": "string", "optional": false}, {"name": "adapter", "type": "string", "optional": false}, {"name": "credentials_ref", "type": "string", "optional": false}, {"name": "scope", "type": "json", "optional": false}]}</t>
        </is>
      </c>
      <c r="G8" s="6" t="inlineStr">
        <is>
          <t>critical</t>
        </is>
      </c>
      <c r="H8" s="6" t="inlineStr">
        <is>
          <t>sensitive</t>
        </is>
      </c>
      <c r="I8" s="6" t="b">
        <v>1</v>
      </c>
      <c r="J8" s="6" t="b">
        <v>1</v>
      </c>
    </row>
    <row r="9">
      <c r="A9" s="6" t="inlineStr">
        <is>
          <t>DE.08</t>
        </is>
      </c>
      <c r="B9" s="6" t="inlineStr">
        <is>
          <t>Live Performance Metrics Stream</t>
        </is>
      </c>
      <c r="C9" s="6" t="inlineStr">
        <is>
          <t>Availability, throughput, latency samples streamed from customer observability tools.</t>
        </is>
      </c>
      <c r="D9" s="6" t="inlineStr">
        <is>
          <t>OBSERVABILITY TOOLS</t>
        </is>
      </c>
      <c r="E9" s="6" t="inlineStr">
        <is>
          <t>Feedback.Ingest</t>
        </is>
      </c>
      <c r="F9" s="6" t="inlineStr">
        <is>
          <t>{"name": "MetricSample", "fields": [{"name": "ts", "type": "string", "optional": false}, {"name": "metric", "type": "string", "optional": false}, {"name": "value", "type": "number", "optional": false}, {"name": "labels", "type": "json", "optional": true}], "format_hint": "event-stream"}</t>
        </is>
      </c>
      <c r="G9" s="6" t="inlineStr">
        <is>
          <t>high</t>
        </is>
      </c>
      <c r="H9" s="6" t="inlineStr">
        <is>
          <t>indirect</t>
        </is>
      </c>
      <c r="I9" s="6" t="b">
        <v>1</v>
      </c>
      <c r="J9" s="6" t="b">
        <v>1</v>
      </c>
    </row>
    <row r="10">
      <c r="A10" s="6" t="inlineStr">
        <is>
          <t>DE.09</t>
        </is>
      </c>
      <c r="B10" s="6" t="inlineStr">
        <is>
          <t>Tech Catalog + Vendor Docs</t>
        </is>
      </c>
      <c r="C10" s="6" t="inlineStr">
        <is>
          <t>Tech-registry profiles + vendor docs + cloud SLAs feeding the recommendation engine.</t>
        </is>
      </c>
      <c r="D10" s="6" t="inlineStr">
        <is>
          <t>DOCUMENTATION SOURCES</t>
        </is>
      </c>
      <c r="E10" s="6" t="inlineStr">
        <is>
          <t>TechStack.Catalog</t>
        </is>
      </c>
      <c r="F10" s="6" t="inlineStr">
        <is>
          <t>{"name": "TechCatalogSnapshot", "fields": [{"name": "tech_id", "type": "string", "optional": false}, {"name": "availability_sla", "type": "number", "optional": true}, {"name": "throughput_profile", "type": "json", "optional": true}, {"name": "latency_profile", "type": "json", "optional": true}, {"name": "citation", "type": "string", "optional": false}]}</t>
        </is>
      </c>
      <c r="G10" s="6" t="inlineStr">
        <is>
          <t>medium</t>
        </is>
      </c>
      <c r="H10" s="6" t="inlineStr">
        <is>
          <t>none</t>
        </is>
      </c>
      <c r="I10" s="6" t="b">
        <v>0</v>
      </c>
      <c r="J10" s="6" t="b">
        <v>1</v>
      </c>
    </row>
    <row r="11">
      <c r="A11" s="6" t="inlineStr">
        <is>
          <t>DE.10</t>
        </is>
      </c>
      <c r="B11" s="6" t="inlineStr">
        <is>
          <t>Design Recommendation</t>
        </is>
      </c>
      <c r="C11" s="6" t="inlineStr">
        <is>
          <t>Traced recommendation (with citations) emitted by F.7 back to spec pipeline.</t>
        </is>
      </c>
      <c r="D11" s="6" t="inlineStr">
        <is>
          <t>Feedback.Recommend</t>
        </is>
      </c>
      <c r="E11" s="6" t="inlineStr">
        <is>
          <t>SpecGen.FromIdea</t>
        </is>
      </c>
      <c r="F11" s="6" t="inlineStr">
        <is>
          <t>{"name": "Recommendation", "fields": [{"name": "recommendation_id", "type": "string", "optional": false}, {"name": "rationale", "type": "string", "optional": false}, {"name": "citations", "type": "json", "optional": false}, {"name": "target_metric", "type": "string", "optional": false}]}</t>
        </is>
      </c>
      <c r="G11" s="6" t="inlineStr">
        <is>
          <t>high</t>
        </is>
      </c>
      <c r="H11" s="6" t="inlineStr">
        <is>
          <t>indirect</t>
        </is>
      </c>
      <c r="I11" s="6" t="b">
        <v>1</v>
      </c>
      <c r="J11" s="6" t="b">
        <v>1</v>
      </c>
    </row>
    <row r="12">
      <c r="A12" s="6" t="inlineStr">
        <is>
          <t>DE.11</t>
        </is>
      </c>
      <c r="B12" s="6" t="inlineStr">
        <is>
          <t>Audit Event</t>
        </is>
      </c>
      <c r="C12" s="6" t="inlineStr">
        <is>
          <t>Append-only event emitted by every state-mutating function per CC.R02.</t>
        </is>
      </c>
      <c r="D12" s="6" t="inlineStr">
        <is>
          <t>Audit.Trail</t>
        </is>
      </c>
      <c r="E12" s="6" t="inlineStr">
        <is>
          <t>Audit.Export</t>
        </is>
      </c>
      <c r="F12" s="6" t="inlineStr">
        <is>
          <t>{"name": "AuditEvent", "fields": [{"name": "event_id", "type": "string", "optional": false}, {"name": "ts", "type": "string", "optional": false}, {"name": "actor_user_id", "type": "string", "optional": false}, {"name": "action", "type": "string", "optional": false}, {"name": "target_ref", "type": "string", "optional": false}]}</t>
        </is>
      </c>
      <c r="G12" s="6" t="inlineStr">
        <is>
          <t>critical</t>
        </is>
      </c>
      <c r="H12" s="6" t="inlineStr">
        <is>
          <t>indirect</t>
        </is>
      </c>
      <c r="I12" s="6" t="b">
        <v>1</v>
      </c>
      <c r="J12" s="6" t="b">
        <v>1</v>
      </c>
    </row>
    <row r="13">
      <c r="A13" s="6" t="inlineStr">
        <is>
          <t>DE.12</t>
        </is>
      </c>
      <c r="B13" s="6" t="inlineStr">
        <is>
          <t>Session Token</t>
        </is>
      </c>
      <c r="C13" s="6" t="inlineStr">
        <is>
          <t>Authenticated session token emitted by IDP, consumed by F.1 (authenticate).</t>
        </is>
      </c>
      <c r="D13" s="6" t="inlineStr">
        <is>
          <t>IDENTITY PROVIDERS</t>
        </is>
      </c>
      <c r="E13" s="6" t="inlineStr">
        <is>
          <t>IdentityAuth.SSO</t>
        </is>
      </c>
      <c r="F13" s="6" t="inlineStr">
        <is>
          <t>{"name": "SessionToken", "fields": [{"name": "token", "type": "string", "optional": false}, {"name": "subject_user_id", "type": "string", "optional": false}, {"name": "expires_at", "type": "string", "optional": false}]}</t>
        </is>
      </c>
      <c r="G13" s="6" t="inlineStr">
        <is>
          <t>critical</t>
        </is>
      </c>
      <c r="H13" s="6" t="inlineStr">
        <is>
          <t>direct</t>
        </is>
      </c>
      <c r="I13" s="6" t="b">
        <v>1</v>
      </c>
      <c r="J13" s="6" t="b">
        <v>1</v>
      </c>
    </row>
    <row r="14">
      <c r="A14" s="6" t="inlineStr">
        <is>
          <t>DE.13</t>
        </is>
      </c>
      <c r="B14" s="6" t="inlineStr">
        <is>
          <t>LLM Completion</t>
        </is>
      </c>
      <c r="C14" s="6" t="inlineStr">
        <is>
          <t>Model completion returned from an LLM provider to an agent workflow.</t>
        </is>
      </c>
      <c r="D14" s="6" t="inlineStr">
        <is>
          <t>LLM PROVIDERS</t>
        </is>
      </c>
      <c r="E14" s="6" t="inlineStr">
        <is>
          <t>Integration.LLM</t>
        </is>
      </c>
      <c r="F14" s="6" t="inlineStr">
        <is>
          <t>{"name": "LlmCompletion", "fields": [{"name": "request_id", "type": "string", "optional": false}, {"name": "content", "type": "string", "optional": false}, {"name": "tokens_in", "type": "number", "optional": true}, {"name": "tokens_out", "type": "number", "optional": true}]}</t>
        </is>
      </c>
      <c r="G14" s="6" t="inlineStr">
        <is>
          <t>high</t>
        </is>
      </c>
      <c r="H14" s="6" t="inlineStr">
        <is>
          <t>indirect</t>
        </is>
      </c>
      <c r="I14" s="6" t="b">
        <v>1</v>
      </c>
      <c r="J14" s="6" t="b">
        <v>1</v>
      </c>
    </row>
    <row r="15">
      <c r="A15" s="6" t="inlineStr">
        <is>
          <t>DE.14</t>
        </is>
      </c>
      <c r="B15" s="6" t="inlineStr">
        <is>
          <t>Compliance Policy</t>
        </is>
      </c>
      <c r="C15" s="6" t="inlineStr">
        <is>
          <t>Compliance rulebook (SOC2/HIPAA/GDPR/PCI-DSS) applied at review and emit gates.</t>
        </is>
      </c>
      <c r="D15" s="6" t="inlineStr">
        <is>
          <t>COMPLIANCE FRAMEWORKS</t>
        </is>
      </c>
      <c r="E15" s="6" t="inlineStr">
        <is>
          <t>Audit.Frameworks</t>
        </is>
      </c>
      <c r="F15" s="6" t="inlineStr">
        <is>
          <t>{"name": "CompliancePolicy", "fields": [{"name": "framework", "type": "string", "optional": false}, {"name": "rules", "type": "json", "optional": false}]}</t>
        </is>
      </c>
      <c r="G15" s="6" t="inlineStr">
        <is>
          <t>high</t>
        </is>
      </c>
      <c r="H15" s="6" t="inlineStr">
        <is>
          <t>none</t>
        </is>
      </c>
      <c r="I15" s="6" t="b">
        <v>0</v>
      </c>
      <c r="J15" s="6" t="b">
        <v>1</v>
      </c>
    </row>
    <row r="16">
      <c r="A16" s="6" t="inlineStr">
        <is>
          <t>DE.15</t>
        </is>
      </c>
      <c r="B16" s="6" t="inlineStr">
        <is>
          <t>Spec Commit</t>
        </is>
      </c>
      <c r="C16" s="6" t="inlineStr">
        <is>
          <t>Approved spec written as an artifact commit to a VCS remote.</t>
        </is>
      </c>
      <c r="D16" s="6" t="inlineStr">
        <is>
          <t>SpecGen.Versioning</t>
        </is>
      </c>
      <c r="E16" s="6" t="inlineStr">
        <is>
          <t>VERSION CONTROL</t>
        </is>
      </c>
      <c r="F16" s="6" t="inlineStr">
        <is>
          <t>{"name": "VcsCommit", "fields": [{"name": "repo", "type": "string", "optional": false}, {"name": "branch", "type": "string", "optional": false}, {"name": "files", "type": "json", "optional": false}]}</t>
        </is>
      </c>
      <c r="G16" s="6" t="inlineStr">
        <is>
          <t>high</t>
        </is>
      </c>
      <c r="H16" s="6" t="inlineStr">
        <is>
          <t>none</t>
        </is>
      </c>
      <c r="I16" s="6" t="b">
        <v>1</v>
      </c>
      <c r="J16" s="6"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30" customWidth="1" min="3" max="3"/>
    <col width="18" customWidth="1" min="4" max="4"/>
    <col width="18" customWidth="1" min="5" max="5"/>
    <col width="18" customWidth="1" min="6" max="6"/>
    <col width="18" customWidth="1" min="7" max="7"/>
  </cols>
  <sheetData>
    <row r="1">
      <c r="A1" s="5" t="inlineStr">
        <is>
          <t>index</t>
        </is>
      </c>
      <c r="B1" s="5" t="inlineStr">
        <is>
          <t>requirement</t>
        </is>
      </c>
      <c r="C1" s="5" t="inlineStr">
        <is>
          <t>abstract_function_name</t>
        </is>
      </c>
      <c r="D1" s="5" t="inlineStr">
        <is>
          <t>source_ucbd</t>
        </is>
      </c>
      <c r="E1" s="5" t="inlineStr">
        <is>
          <t>source_step</t>
        </is>
      </c>
      <c r="F1" s="5" t="inlineStr">
        <is>
          <t>referenced_constants</t>
        </is>
      </c>
      <c r="G1" s="5" t="inlineStr">
        <is>
          <t>cross_cutting_ref</t>
        </is>
      </c>
    </row>
    <row r="2">
      <c r="A2" s="6" t="inlineStr">
        <is>
          <t>UC01.R01</t>
        </is>
      </c>
      <c r="B2" s="6" t="inlineStr">
        <is>
          <t>The system shall authenticate the Founder's session before accepting a submitted idea prompt.</t>
        </is>
      </c>
      <c r="C2" s="6" t="inlineStr">
        <is>
          <t>authenticate_session</t>
        </is>
      </c>
      <c r="D2" s="6" t="inlineStr">
        <is>
          <t>UC01</t>
        </is>
      </c>
      <c r="E2" s="6" t="n">
        <v>2</v>
      </c>
      <c r="F2" s="6" t="n"/>
      <c r="G2" s="6" t="inlineStr">
        <is>
          <t>CC.R01</t>
        </is>
      </c>
    </row>
    <row r="3">
      <c r="A3" s="6" t="inlineStr">
        <is>
          <t>UC01.R02</t>
        </is>
      </c>
      <c r="B3" s="6" t="inlineStr">
        <is>
          <t>The system shall persist the submitted idea prompt to the project context with a stable Project ID.</t>
        </is>
      </c>
      <c r="C3" s="6" t="inlineStr">
        <is>
          <t>persist_idea_prompt</t>
        </is>
      </c>
      <c r="D3" s="6" t="inlineStr">
        <is>
          <t>UC01</t>
        </is>
      </c>
      <c r="E3" s="6" t="n">
        <v>3</v>
      </c>
      <c r="F3" s="6" t="n"/>
      <c r="G3" s="6" t="n"/>
    </row>
    <row r="4">
      <c r="A4" s="6" t="inlineStr">
        <is>
          <t>UC01.R03</t>
        </is>
      </c>
      <c r="B4" s="6" t="inlineStr">
        <is>
          <t>The system shall initiate a conversational intake session scoped to the Project ID.</t>
        </is>
      </c>
      <c r="C4" s="6" t="inlineStr">
        <is>
          <t>initiate_intake_session</t>
        </is>
      </c>
      <c r="D4" s="6" t="inlineStr">
        <is>
          <t>UC01</t>
        </is>
      </c>
      <c r="E4" s="6" t="n">
        <v>4</v>
      </c>
      <c r="F4" s="6" t="n"/>
      <c r="G4" s="6" t="n"/>
    </row>
    <row r="5">
      <c r="A5" s="6" t="inlineStr">
        <is>
          <t>UC01.R04</t>
        </is>
      </c>
      <c r="B5" s="6" t="inlineStr">
        <is>
          <t>The system shall present the first intake question to the Founder within FOUNDER_INTAKE_RESPONSE_BUDGET_MS of receiving the idea prompt.</t>
        </is>
      </c>
      <c r="C5" s="6" t="inlineStr">
        <is>
          <t>present_intake_question</t>
        </is>
      </c>
      <c r="D5" s="6" t="inlineStr">
        <is>
          <t>UC01</t>
        </is>
      </c>
      <c r="E5" s="6" t="n">
        <v>5</v>
      </c>
      <c r="F5" s="6" t="inlineStr">
        <is>
          <t>FOUNDER_INTAKE_RESPONSE_BUDGET_MS</t>
        </is>
      </c>
      <c r="G5" s="6" t="n"/>
    </row>
    <row r="6">
      <c r="A6" s="6" t="inlineStr">
        <is>
          <t>UC01.R05</t>
        </is>
      </c>
      <c r="B6" s="6" t="inlineStr">
        <is>
          <t>The system shall classify the idea's domain by invoking a configured LLM Provider with the idea prompt and the intake answers.</t>
        </is>
      </c>
      <c r="C6" s="6" t="inlineStr">
        <is>
          <t>classify_idea_domain</t>
        </is>
      </c>
      <c r="D6" s="6" t="inlineStr">
        <is>
          <t>UC01</t>
        </is>
      </c>
      <c r="E6" s="6" t="n">
        <v>7</v>
      </c>
      <c r="F6" s="6" t="n"/>
      <c r="G6" s="6" t="inlineStr">
        <is>
          <t>CC.R08</t>
        </is>
      </c>
    </row>
    <row r="7">
      <c r="A7" s="6" t="inlineStr">
        <is>
          <t>UC01.R06</t>
        </is>
      </c>
      <c r="B7" s="6" t="inlineStr">
        <is>
          <t>The system shall loop intake questions until the INTAKE_COMPLETENESS_THRESHOLD is met.</t>
        </is>
      </c>
      <c r="C7" s="6" t="inlineStr">
        <is>
          <t>loop_intake_to_threshold</t>
        </is>
      </c>
      <c r="D7" s="6" t="inlineStr">
        <is>
          <t>UC01</t>
        </is>
      </c>
      <c r="E7" s="6" t="n">
        <v>9</v>
      </c>
      <c r="F7" s="6" t="inlineStr">
        <is>
          <t>INTAKE_COMPLETENESS_THRESHOLD</t>
        </is>
      </c>
      <c r="G7" s="6" t="n"/>
    </row>
    <row r="8">
      <c r="A8" s="6" t="inlineStr">
        <is>
          <t>UC01.R07</t>
        </is>
      </c>
      <c r="B8" s="6" t="inlineStr">
        <is>
          <t>The system shall assemble an initial scope outline containing actors, use cases, and constraints from the intake transcript.</t>
        </is>
      </c>
      <c r="C8" s="6" t="inlineStr">
        <is>
          <t>assemble_scope_outline</t>
        </is>
      </c>
      <c r="D8" s="6" t="inlineStr">
        <is>
          <t>UC01</t>
        </is>
      </c>
      <c r="E8" s="6" t="n">
        <v>10</v>
      </c>
      <c r="F8" s="6" t="n"/>
      <c r="G8" s="6" t="n"/>
    </row>
    <row r="9">
      <c r="A9" s="6" t="inlineStr">
        <is>
          <t>UC01.R08</t>
        </is>
      </c>
      <c r="B9" s="6" t="inlineStr">
        <is>
          <t>The system shall draft a tech-stack recommendation for each subsystem identified in the scope outline.</t>
        </is>
      </c>
      <c r="C9" s="6" t="inlineStr">
        <is>
          <t>draft_tech_stack_recommendation</t>
        </is>
      </c>
      <c r="D9" s="6" t="inlineStr">
        <is>
          <t>UC01</t>
        </is>
      </c>
      <c r="E9" s="6" t="n">
        <v>11</v>
      </c>
      <c r="F9" s="6" t="n"/>
      <c r="G9" s="6" t="n"/>
    </row>
    <row r="10">
      <c r="A10" s="6" t="inlineStr">
        <is>
          <t>UC01.R09</t>
        </is>
      </c>
      <c r="B10" s="6" t="inlineStr">
        <is>
          <t>The system shall invoke the metric-traceback subroutine for every tech-stack recommendation before the spec is assembled.</t>
        </is>
      </c>
      <c r="C10" s="6" t="inlineStr">
        <is>
          <t>invoke_metric_traceback</t>
        </is>
      </c>
      <c r="D10" s="6" t="inlineStr">
        <is>
          <t>UC01</t>
        </is>
      </c>
      <c r="E10" s="6" t="n">
        <v>12</v>
      </c>
      <c r="F10" s="6" t="n"/>
      <c r="G10" s="6" t="n"/>
    </row>
    <row r="11">
      <c r="A11" s="6" t="inlineStr">
        <is>
          <t>UC01.R10</t>
        </is>
      </c>
      <c r="B11" s="6" t="inlineStr">
        <is>
          <t>The system shall assemble the spec bundle from the scope outline, the traced tech-stack recommendations, and the extracted constants.</t>
        </is>
      </c>
      <c r="C11" s="6" t="inlineStr">
        <is>
          <t>assemble_spec_bundle</t>
        </is>
      </c>
      <c r="D11" s="6" t="inlineStr">
        <is>
          <t>UC01</t>
        </is>
      </c>
      <c r="E11" s="6" t="n">
        <v>13</v>
      </c>
      <c r="F11" s="6" t="n"/>
      <c r="G11" s="6" t="n"/>
    </row>
    <row r="12">
      <c r="A12" s="6" t="inlineStr">
        <is>
          <t>UC01.R11</t>
        </is>
      </c>
      <c r="B12" s="6" t="inlineStr">
        <is>
          <t>The system shall validate the assembled spec against the spec-shape schema and reject the assembly if validation fails.</t>
        </is>
      </c>
      <c r="C12" s="6" t="inlineStr">
        <is>
          <t>validate_spec_schema</t>
        </is>
      </c>
      <c r="D12" s="6" t="inlineStr">
        <is>
          <t>UC01</t>
        </is>
      </c>
      <c r="E12" s="6" t="n">
        <v>14</v>
      </c>
      <c r="F12" s="6" t="n"/>
      <c r="G12" s="6" t="n"/>
    </row>
    <row r="13">
      <c r="A13" s="6" t="inlineStr">
        <is>
          <t>UC01.R12</t>
        </is>
      </c>
      <c r="B13" s="6" t="inlineStr">
        <is>
          <t>The system shall complete the spec generation cycle within SPEC_GENERATION_TIMEOUT_SEC from the first Founder answer.</t>
        </is>
      </c>
      <c r="C13" s="6" t="inlineStr">
        <is>
          <t>enforce_spec_generation_timeout</t>
        </is>
      </c>
      <c r="D13" s="6" t="inlineStr">
        <is>
          <t>UC01</t>
        </is>
      </c>
      <c r="E13" s="6" t="n">
        <v>15</v>
      </c>
      <c r="F13" s="6" t="inlineStr">
        <is>
          <t>SPEC_GENERATION_TIMEOUT_SEC</t>
        </is>
      </c>
      <c r="G13" s="6" t="n"/>
    </row>
    <row r="14">
      <c r="A14" s="6" t="inlineStr">
        <is>
          <t>UC01.R13</t>
        </is>
      </c>
      <c r="B14" s="6" t="inlineStr">
        <is>
          <t>The system shall persist the validated spec to version-controlled storage with status 'draft' and a commit hash.</t>
        </is>
      </c>
      <c r="C14" s="6" t="inlineStr">
        <is>
          <t>persist_spec_versioned</t>
        </is>
      </c>
      <c r="D14" s="6" t="inlineStr">
        <is>
          <t>UC01</t>
        </is>
      </c>
      <c r="E14" s="6" t="n">
        <v>16</v>
      </c>
      <c r="F14" s="6" t="n"/>
      <c r="G14" s="6" t="n"/>
    </row>
    <row r="15">
      <c r="A15" s="6" t="inlineStr">
        <is>
          <t>UC01.R14</t>
        </is>
      </c>
      <c r="B15" s="6" t="inlineStr">
        <is>
          <t>The system shall record an audit entry for the spec creation with Founder identity, Project ID, commit hash, and timestamp.</t>
        </is>
      </c>
      <c r="C15" s="6" t="inlineStr">
        <is>
          <t>audit_spec_creation</t>
        </is>
      </c>
      <c r="D15" s="6" t="inlineStr">
        <is>
          <t>UC01</t>
        </is>
      </c>
      <c r="E15" s="6" t="n">
        <v>17</v>
      </c>
      <c r="F15" s="6" t="n"/>
      <c r="G15" s="6" t="inlineStr">
        <is>
          <t>CC.R02</t>
        </is>
      </c>
    </row>
    <row r="16">
      <c r="A16" s="6" t="inlineStr">
        <is>
          <t>UC01.R15</t>
        </is>
      </c>
      <c r="B16" s="6" t="inlineStr">
        <is>
          <t>The system shall notify the spec's assigned Product Managers that the spec is ready for review.</t>
        </is>
      </c>
      <c r="C16" s="6" t="inlineStr">
        <is>
          <t>notify_reviewers</t>
        </is>
      </c>
      <c r="D16" s="6" t="inlineStr">
        <is>
          <t>UC01</t>
        </is>
      </c>
      <c r="E16" s="6" t="n">
        <v>19</v>
      </c>
      <c r="F16" s="6" t="n"/>
      <c r="G16" s="6" t="n"/>
    </row>
    <row r="17">
      <c r="A17" s="6" t="inlineStr">
        <is>
          <t>UC01.R16</t>
        </is>
      </c>
      <c r="B17" s="6" t="inlineStr">
        <is>
          <t>The system shall return the persisted spec's URL and commit hash to the Founder.</t>
        </is>
      </c>
      <c r="C17" s="6" t="inlineStr">
        <is>
          <t>return_spec_location</t>
        </is>
      </c>
      <c r="D17" s="6" t="inlineStr">
        <is>
          <t>UC01</t>
        </is>
      </c>
      <c r="E17" s="6" t="n">
        <v>20</v>
      </c>
      <c r="F17" s="6" t="n"/>
      <c r="G17" s="6" t="n"/>
    </row>
    <row r="18">
      <c r="A18" s="6" t="inlineStr">
        <is>
          <t>UC03.R01</t>
        </is>
      </c>
      <c r="B18" s="6" t="inlineStr">
        <is>
          <t>The system shall authenticate the Product Manager's session before exposing the review queue.</t>
        </is>
      </c>
      <c r="C18" s="6" t="inlineStr">
        <is>
          <t>authenticate_session</t>
        </is>
      </c>
      <c r="D18" s="6" t="inlineStr">
        <is>
          <t>UC03</t>
        </is>
      </c>
      <c r="E18" s="6" t="n">
        <v>2</v>
      </c>
      <c r="F18" s="6" t="n"/>
      <c r="G18" s="6" t="inlineStr">
        <is>
          <t>CC.R01</t>
        </is>
      </c>
    </row>
    <row r="19">
      <c r="A19" s="6" t="inlineStr">
        <is>
          <t>UC03.R02</t>
        </is>
      </c>
      <c r="B19" s="6" t="inlineStr">
        <is>
          <t>The system shall enumerate every spec in 'draft' status assigned to the authenticated Product Manager's review queue.</t>
        </is>
      </c>
      <c r="C19" s="6" t="inlineStr">
        <is>
          <t>enumerate_review_queue</t>
        </is>
      </c>
      <c r="D19" s="6" t="inlineStr">
        <is>
          <t>UC03</t>
        </is>
      </c>
      <c r="E19" s="6" t="n">
        <v>3</v>
      </c>
      <c r="F19" s="6" t="n"/>
      <c r="G19" s="6" t="n"/>
    </row>
    <row r="20">
      <c r="A20" s="6" t="inlineStr">
        <is>
          <t>UC03.R03</t>
        </is>
      </c>
      <c r="B20" s="6" t="inlineStr">
        <is>
          <t>The system shall return the spec list sorted by submission time ascending and rendered within REVIEW_QUEUE_LOAD_BUDGET_MS.</t>
        </is>
      </c>
      <c r="C20" s="6" t="inlineStr">
        <is>
          <t>render_review_queue</t>
        </is>
      </c>
      <c r="D20" s="6" t="inlineStr">
        <is>
          <t>UC03</t>
        </is>
      </c>
      <c r="E20" s="6" t="n">
        <v>4</v>
      </c>
      <c r="F20" s="6" t="inlineStr">
        <is>
          <t>REVIEW_QUEUE_LOAD_BUDGET_MS</t>
        </is>
      </c>
      <c r="G20" s="6" t="n"/>
    </row>
    <row r="21">
      <c r="A21" s="6" t="inlineStr">
        <is>
          <t>UC03.R04</t>
        </is>
      </c>
      <c r="B21" s="6" t="inlineStr">
        <is>
          <t>The system shall verify the Product Manager holds review permission on the selected spec's organization.</t>
        </is>
      </c>
      <c r="C21" s="6" t="inlineStr">
        <is>
          <t>verify_review_permission</t>
        </is>
      </c>
      <c r="D21" s="6" t="inlineStr">
        <is>
          <t>UC03</t>
        </is>
      </c>
      <c r="E21" s="6" t="n">
        <v>6</v>
      </c>
      <c r="F21" s="6" t="n"/>
      <c r="G21" s="6" t="inlineStr">
        <is>
          <t>CC.R03</t>
        </is>
      </c>
    </row>
    <row r="22">
      <c r="A22" s="6" t="inlineStr">
        <is>
          <t>UC03.R05</t>
        </is>
      </c>
      <c r="B22" s="6" t="inlineStr">
        <is>
          <t>The system shall load the spec bundle including the spec document, diagrams, and constants table at the spec's committed hash.</t>
        </is>
      </c>
      <c r="C22" s="6" t="inlineStr">
        <is>
          <t>load_spec_bundle</t>
        </is>
      </c>
      <c r="D22" s="6" t="inlineStr">
        <is>
          <t>UC03</t>
        </is>
      </c>
      <c r="E22" s="6" t="n">
        <v>7</v>
      </c>
      <c r="F22" s="6" t="n"/>
      <c r="G22" s="6" t="n"/>
    </row>
    <row r="23">
      <c r="A23" s="6" t="inlineStr">
        <is>
          <t>UC03.R06</t>
        </is>
      </c>
      <c r="B23" s="6" t="inlineStr">
        <is>
          <t>The system shall render the loaded spec bundle in a reviewable view within SPEC_RENDER_BUDGET_MS.</t>
        </is>
      </c>
      <c r="C23" s="6" t="inlineStr">
        <is>
          <t>render_spec_view</t>
        </is>
      </c>
      <c r="D23" s="6" t="inlineStr">
        <is>
          <t>UC03</t>
        </is>
      </c>
      <c r="E23" s="6" t="n">
        <v>8</v>
      </c>
      <c r="F23" s="6" t="inlineStr">
        <is>
          <t>SPEC_RENDER_BUDGET_MS</t>
        </is>
      </c>
      <c r="G23" s="6" t="n"/>
    </row>
    <row r="24">
      <c r="A24" s="6" t="inlineStr">
        <is>
          <t>UC03.R07</t>
        </is>
      </c>
      <c r="B24" s="6" t="inlineStr">
        <is>
          <t>The system shall persist each submitted review comment with Product Manager identity, spec section anchor, and timestamp.</t>
        </is>
      </c>
      <c r="C24" s="6" t="inlineStr">
        <is>
          <t>persist_review_comment</t>
        </is>
      </c>
      <c r="D24" s="6" t="inlineStr">
        <is>
          <t>UC03</t>
        </is>
      </c>
      <c r="E24" s="6" t="n">
        <v>11</v>
      </c>
      <c r="F24" s="6" t="n"/>
      <c r="G24" s="6" t="n"/>
    </row>
    <row r="25">
      <c r="A25" s="6" t="inlineStr">
        <is>
          <t>UC03.R08</t>
        </is>
      </c>
      <c r="B25" s="6" t="inlineStr">
        <is>
          <t>The system shall validate that every 'request_revisions' action includes at least one review comment.</t>
        </is>
      </c>
      <c r="C25" s="6" t="inlineStr">
        <is>
          <t>validate_revision_comment</t>
        </is>
      </c>
      <c r="D25" s="6" t="inlineStr">
        <is>
          <t>UC03</t>
        </is>
      </c>
      <c r="E25" s="6" t="n">
        <v>13</v>
      </c>
      <c r="F25" s="6" t="n"/>
      <c r="G25" s="6" t="n"/>
    </row>
    <row r="26">
      <c r="A26" s="6" t="inlineStr">
        <is>
          <t>UC03.R09</t>
        </is>
      </c>
      <c r="B26" s="6" t="inlineStr">
        <is>
          <t>The system shall transition the spec state from 'draft' to the state implied by the review action within STATE_TRANSITION_BUDGET_MS.</t>
        </is>
      </c>
      <c r="C26" s="6" t="inlineStr">
        <is>
          <t>transition_spec_state</t>
        </is>
      </c>
      <c r="D26" s="6" t="inlineStr">
        <is>
          <t>UC03</t>
        </is>
      </c>
      <c r="E26" s="6" t="n">
        <v>14</v>
      </c>
      <c r="F26" s="6" t="inlineStr">
        <is>
          <t>STATE_TRANSITION_BUDGET_MS</t>
        </is>
      </c>
      <c r="G26" s="6" t="n"/>
    </row>
    <row r="27">
      <c r="A27" s="6" t="inlineStr">
        <is>
          <t>UC03.R10</t>
        </is>
      </c>
      <c r="B27" s="6" t="inlineStr">
        <is>
          <t>The system shall record an audit entry for the state transition with reviewer identity, prior state, new state, comment count, and timestamp.</t>
        </is>
      </c>
      <c r="C27" s="6" t="inlineStr">
        <is>
          <t>audit_state_transition</t>
        </is>
      </c>
      <c r="D27" s="6" t="inlineStr">
        <is>
          <t>UC03</t>
        </is>
      </c>
      <c r="E27" s="6" t="n">
        <v>15</v>
      </c>
      <c r="F27" s="6" t="n"/>
      <c r="G27" s="6" t="inlineStr">
        <is>
          <t>CC.R02</t>
        </is>
      </c>
    </row>
    <row r="28">
      <c r="A28" s="6" t="inlineStr">
        <is>
          <t>UC03.R11</t>
        </is>
      </c>
      <c r="B28" s="6" t="inlineStr">
        <is>
          <t>The system shall notify the spec's Founder of the review decision and attached comments.</t>
        </is>
      </c>
      <c r="C28" s="6" t="inlineStr">
        <is>
          <t>notify_founder_of_review</t>
        </is>
      </c>
      <c r="D28" s="6" t="inlineStr">
        <is>
          <t>UC03</t>
        </is>
      </c>
      <c r="E28" s="6" t="n">
        <v>17</v>
      </c>
      <c r="F28" s="6" t="n"/>
      <c r="G28" s="6" t="n"/>
    </row>
    <row r="29">
      <c r="A29" s="6" t="inlineStr">
        <is>
          <t>UC03.R12</t>
        </is>
      </c>
      <c r="B29" s="6" t="inlineStr">
        <is>
          <t>The system shall enable the CLI-emission pipeline on approve and block it on reject or revisions_requested.</t>
        </is>
      </c>
      <c r="C29" s="6" t="inlineStr">
        <is>
          <t>gate_cli_emission_on_approval</t>
        </is>
      </c>
      <c r="D29" s="6" t="inlineStr">
        <is>
          <t>UC03</t>
        </is>
      </c>
      <c r="E29" s="6" t="n">
        <v>18</v>
      </c>
      <c r="F29" s="6" t="n"/>
      <c r="G29" s="6" t="n"/>
    </row>
    <row r="30">
      <c r="A30" s="6" t="inlineStr">
        <is>
          <t>UC03.R13</t>
        </is>
      </c>
      <c r="B30" s="6" t="inlineStr">
        <is>
          <t>The system shall notify Engineering Teams subscribed to the project that the spec has transitioned to 'approved' status.</t>
        </is>
      </c>
      <c r="C30" s="6" t="inlineStr">
        <is>
          <t>notify_engineers_of_approval</t>
        </is>
      </c>
      <c r="D30" s="6" t="inlineStr">
        <is>
          <t>UC03</t>
        </is>
      </c>
      <c r="E30" s="6" t="n">
        <v>20</v>
      </c>
      <c r="F30" s="6" t="n"/>
      <c r="G30" s="6" t="n"/>
    </row>
    <row r="31">
      <c r="A31" s="6" t="inlineStr">
        <is>
          <t>UC04.R01</t>
        </is>
      </c>
      <c r="B31" s="6" t="inlineStr">
        <is>
          <t>The system shall authenticate the Engineering Team Member's session before accepting a CLI emission request.</t>
        </is>
      </c>
      <c r="C31" s="6" t="inlineStr">
        <is>
          <t>authenticate_session</t>
        </is>
      </c>
      <c r="D31" s="6" t="inlineStr">
        <is>
          <t>UC04</t>
        </is>
      </c>
      <c r="E31" s="6" t="n">
        <v>2</v>
      </c>
      <c r="F31" s="6" t="n"/>
      <c r="G31" s="6" t="inlineStr">
        <is>
          <t>CC.R01</t>
        </is>
      </c>
    </row>
    <row r="32">
      <c r="A32" s="6" t="inlineStr">
        <is>
          <t>UC04.R02</t>
        </is>
      </c>
      <c r="B32" s="6" t="inlineStr">
        <is>
          <t>The system shall verify the referenced spec's status is exactly 'approved' before proceeding with CLI emission.</t>
        </is>
      </c>
      <c r="C32" s="6" t="inlineStr">
        <is>
          <t>verify_spec_approved</t>
        </is>
      </c>
      <c r="D32" s="6" t="inlineStr">
        <is>
          <t>UC04</t>
        </is>
      </c>
      <c r="E32" s="6" t="n">
        <v>3</v>
      </c>
      <c r="F32" s="6" t="n"/>
      <c r="G32" s="6" t="n"/>
    </row>
    <row r="33">
      <c r="A33" s="6" t="inlineStr">
        <is>
          <t>UC04.R03</t>
        </is>
      </c>
      <c r="B33" s="6" t="inlineStr">
        <is>
          <t>The system shall verify the Engineering Team Member holds emit permission on the spec's organization.</t>
        </is>
      </c>
      <c r="C33" s="6" t="inlineStr">
        <is>
          <t>verify_emit_permission</t>
        </is>
      </c>
      <c r="D33" s="6" t="inlineStr">
        <is>
          <t>UC04</t>
        </is>
      </c>
      <c r="E33" s="6" t="n">
        <v>4</v>
      </c>
      <c r="F33" s="6" t="n"/>
      <c r="G33" s="6" t="inlineStr">
        <is>
          <t>CC.R03</t>
        </is>
      </c>
    </row>
    <row r="34">
      <c r="A34" s="6" t="inlineStr">
        <is>
          <t>UC04.R04</t>
        </is>
      </c>
      <c r="B34" s="6" t="inlineStr">
        <is>
          <t>The system shall load the approved spec bundle at its committed hash from version-controlled storage.</t>
        </is>
      </c>
      <c r="C34" s="6" t="inlineStr">
        <is>
          <t>load_spec_bundle</t>
        </is>
      </c>
      <c r="D34" s="6" t="inlineStr">
        <is>
          <t>UC04</t>
        </is>
      </c>
      <c r="E34" s="6" t="n">
        <v>5</v>
      </c>
      <c r="F34" s="6" t="n"/>
      <c r="G34" s="6" t="n"/>
    </row>
    <row r="35">
      <c r="A35" s="6" t="inlineStr">
        <is>
          <t>UC04.R05</t>
        </is>
      </c>
      <c r="B35" s="6" t="inlineStr">
        <is>
          <t>The system shall generate a SKILL.md export from the spec's agent and capability sections.</t>
        </is>
      </c>
      <c r="C35" s="6" t="inlineStr">
        <is>
          <t>generate_skill_md</t>
        </is>
      </c>
      <c r="D35" s="6" t="inlineStr">
        <is>
          <t>UC04</t>
        </is>
      </c>
      <c r="E35" s="6" t="n">
        <v>6</v>
      </c>
      <c r="F35" s="6" t="n"/>
      <c r="G35" s="6" t="n"/>
    </row>
    <row r="36">
      <c r="A36" s="6" t="inlineStr">
        <is>
          <t>UC04.R06</t>
        </is>
      </c>
      <c r="B36" s="6" t="inlineStr">
        <is>
          <t>The system shall generate a CLAUDE.md export from the spec's conventions and architecture sections.</t>
        </is>
      </c>
      <c r="C36" s="6" t="inlineStr">
        <is>
          <t>generate_claude_md</t>
        </is>
      </c>
      <c r="D36" s="6" t="inlineStr">
        <is>
          <t>UC04</t>
        </is>
      </c>
      <c r="E36" s="6" t="n">
        <v>7</v>
      </c>
      <c r="F36" s="6" t="n"/>
      <c r="G36" s="6" t="n"/>
    </row>
    <row r="37">
      <c r="A37" s="6" t="inlineStr">
        <is>
          <t>UC04.R07</t>
        </is>
      </c>
      <c r="B37" s="6" t="inlineStr">
        <is>
          <t>The system shall generate one MCP tool definition for each interface declared in the spec's interface matrix.</t>
        </is>
      </c>
      <c r="C37" s="6" t="inlineStr">
        <is>
          <t>generate_mcp_tool_definition</t>
        </is>
      </c>
      <c r="D37" s="6" t="inlineStr">
        <is>
          <t>UC04</t>
        </is>
      </c>
      <c r="E37" s="6" t="n">
        <v>8</v>
      </c>
      <c r="F37" s="6" t="n"/>
      <c r="G37" s="6" t="n"/>
    </row>
    <row r="38">
      <c r="A38" s="6" t="inlineStr">
        <is>
          <t>UC04.R08</t>
        </is>
      </c>
      <c r="B38" s="6" t="inlineStr">
        <is>
          <t>The system shall package the SKILL.md, CLAUDE.md, and MCP tool definitions into a single CLI bundle.</t>
        </is>
      </c>
      <c r="C38" s="6" t="inlineStr">
        <is>
          <t>package_cli_bundle</t>
        </is>
      </c>
      <c r="D38" s="6" t="inlineStr">
        <is>
          <t>UC04</t>
        </is>
      </c>
      <c r="E38" s="6" t="n">
        <v>9</v>
      </c>
      <c r="F38" s="6" t="n"/>
      <c r="G38" s="6" t="n"/>
    </row>
    <row r="39">
      <c r="A39" s="6" t="inlineStr">
        <is>
          <t>UC04.R09</t>
        </is>
      </c>
      <c r="B39" s="6" t="inlineStr">
        <is>
          <t>The system shall sign the CLI bundle with the spec's commit hash and the emission timestamp.</t>
        </is>
      </c>
      <c r="C39" s="6" t="inlineStr">
        <is>
          <t>sign_cli_bundle</t>
        </is>
      </c>
      <c r="D39" s="6" t="inlineStr">
        <is>
          <t>UC04</t>
        </is>
      </c>
      <c r="E39" s="6" t="n">
        <v>10</v>
      </c>
      <c r="F39" s="6" t="n"/>
      <c r="G39" s="6" t="n"/>
    </row>
    <row r="40">
      <c r="A40" s="6" t="inlineStr">
        <is>
          <t>UC04.R10</t>
        </is>
      </c>
      <c r="B40" s="6" t="inlineStr">
        <is>
          <t>The system shall complete CLI bundle generation within CLI_EMISSION_TIMEOUT_SEC of the emission request.</t>
        </is>
      </c>
      <c r="C40" s="6" t="inlineStr">
        <is>
          <t>enforce_cli_emission_timeout</t>
        </is>
      </c>
      <c r="D40" s="6" t="inlineStr">
        <is>
          <t>UC04</t>
        </is>
      </c>
      <c r="E40" s="6" t="n">
        <v>11</v>
      </c>
      <c r="F40" s="6" t="inlineStr">
        <is>
          <t>CLI_EMISSION_TIMEOUT_SEC</t>
        </is>
      </c>
      <c r="G40" s="6" t="n"/>
    </row>
    <row r="41">
      <c r="A41" s="6" t="inlineStr">
        <is>
          <t>UC04.R11</t>
        </is>
      </c>
      <c r="B41" s="6" t="inlineStr">
        <is>
          <t>The system shall write the signed CLI bundle to the spec's Version Control repository under the emission path.</t>
        </is>
      </c>
      <c r="C41" s="6" t="inlineStr">
        <is>
          <t>write_bundle_to_vcs</t>
        </is>
      </c>
      <c r="D41" s="6" t="inlineStr">
        <is>
          <t>UC04</t>
        </is>
      </c>
      <c r="E41" s="6" t="n">
        <v>13</v>
      </c>
      <c r="F41" s="6" t="n"/>
      <c r="G41" s="6" t="n"/>
    </row>
    <row r="42">
      <c r="A42" s="6" t="inlineStr">
        <is>
          <t>UC04.R12</t>
        </is>
      </c>
      <c r="B42" s="6" t="inlineStr">
        <is>
          <t>The system shall deliver the signed CLI bundle to the Engineering Team Member's registered IDE or CLI client.</t>
        </is>
      </c>
      <c r="C42" s="6" t="inlineStr">
        <is>
          <t>deliver_bundle_to_client</t>
        </is>
      </c>
      <c r="D42" s="6" t="inlineStr">
        <is>
          <t>UC04</t>
        </is>
      </c>
      <c r="E42" s="6" t="n">
        <v>14</v>
      </c>
      <c r="F42" s="6" t="n"/>
      <c r="G42" s="6" t="n"/>
    </row>
    <row r="43">
      <c r="A43" s="6" t="inlineStr">
        <is>
          <t>UC04.R13</t>
        </is>
      </c>
      <c r="B43" s="6" t="inlineStr">
        <is>
          <t>The system shall require an IDE or CLI receipt token before marking the emission as delivered.</t>
        </is>
      </c>
      <c r="C43" s="6" t="inlineStr">
        <is>
          <t>require_receipt_token</t>
        </is>
      </c>
      <c r="D43" s="6" t="inlineStr">
        <is>
          <t>UC04</t>
        </is>
      </c>
      <c r="E43" s="6" t="n">
        <v>16</v>
      </c>
      <c r="F43" s="6" t="n"/>
      <c r="G43" s="6" t="n"/>
    </row>
    <row r="44">
      <c r="A44" s="6" t="inlineStr">
        <is>
          <t>UC04.R14</t>
        </is>
      </c>
      <c r="B44" s="6" t="inlineStr">
        <is>
          <t>The system shall record an audit entry for the CLI emission with Engineering Team Member identity, spec commit hash, bundle signature, IDE or CLI client identifier, and timestamp.</t>
        </is>
      </c>
      <c r="C44" s="6" t="inlineStr">
        <is>
          <t>audit_cli_emission</t>
        </is>
      </c>
      <c r="D44" s="6" t="inlineStr">
        <is>
          <t>UC04</t>
        </is>
      </c>
      <c r="E44" s="6" t="n">
        <v>17</v>
      </c>
      <c r="F44" s="6" t="n"/>
      <c r="G44" s="6" t="inlineStr">
        <is>
          <t>CC.R02</t>
        </is>
      </c>
    </row>
    <row r="45">
      <c r="A45" s="6" t="inlineStr">
        <is>
          <t>UC04.R15</t>
        </is>
      </c>
      <c r="B45" s="6" t="inlineStr">
        <is>
          <t>The system shall return the bundle location, signature, and commit hash to the Engineering Team Member.</t>
        </is>
      </c>
      <c r="C45" s="6" t="inlineStr">
        <is>
          <t>return_bundle_location</t>
        </is>
      </c>
      <c r="D45" s="6" t="inlineStr">
        <is>
          <t>UC04</t>
        </is>
      </c>
      <c r="E45" s="6" t="n">
        <v>18</v>
      </c>
      <c r="F45" s="6" t="n"/>
      <c r="G45" s="6" t="n"/>
    </row>
    <row r="46">
      <c r="A46" s="6" t="inlineStr">
        <is>
          <t>UC06.R01</t>
        </is>
      </c>
      <c r="B46" s="6" t="inlineStr">
        <is>
          <t>The system shall persist every ingested metric sample to the feedback-loop store with the source observability identifier and a monotonic ingest timestamp.</t>
        </is>
      </c>
      <c r="C46" s="6" t="inlineStr">
        <is>
          <t>persist_metric_sample</t>
        </is>
      </c>
      <c r="D46" s="6" t="inlineStr">
        <is>
          <t>UC06</t>
        </is>
      </c>
      <c r="E46" s="6" t="n">
        <v>2</v>
      </c>
      <c r="F46" s="6" t="n"/>
      <c r="G46" s="6" t="n"/>
    </row>
    <row r="47">
      <c r="A47" s="6" t="inlineStr">
        <is>
          <t>UC06.R02</t>
        </is>
      </c>
      <c r="B47" s="6" t="inlineStr">
        <is>
          <t>The system shall bound the overhead of metric ingestion on the customer system to at most MAX_CUSTOMER_SYSTEM_OVERHEAD_PCT of the customer system's measured baseline resources.</t>
        </is>
      </c>
      <c r="C47" s="6" t="inlineStr">
        <is>
          <t>enforce_customer_overhead_budget</t>
        </is>
      </c>
      <c r="D47" s="6" t="inlineStr">
        <is>
          <t>UC06</t>
        </is>
      </c>
      <c r="E47" s="6" t="n">
        <v>3</v>
      </c>
      <c r="F47" s="6" t="inlineStr">
        <is>
          <t>MAX_CUSTOMER_SYSTEM_OVERHEAD_PCT</t>
        </is>
      </c>
      <c r="G47" s="6" t="n"/>
    </row>
    <row r="48">
      <c r="A48" s="6" t="inlineStr">
        <is>
          <t>UC06.R03</t>
        </is>
      </c>
      <c r="B48" s="6" t="inlineStr">
        <is>
          <t>The system shall aggregate persisted samples over the AGGREGATION_WINDOW_MIN window on a RECOMMENDATION_CADENCE_MIN schedule.</t>
        </is>
      </c>
      <c r="C48" s="6" t="inlineStr">
        <is>
          <t>aggregate_metric_window</t>
        </is>
      </c>
      <c r="D48" s="6" t="inlineStr">
        <is>
          <t>UC06</t>
        </is>
      </c>
      <c r="E48" s="6" t="n">
        <v>4</v>
      </c>
      <c r="F48" s="6" t="inlineStr">
        <is>
          <t>AGGREGATION_WINDOW_MIN, RECOMMENDATION_CADENCE_MIN</t>
        </is>
      </c>
      <c r="G48" s="6" t="n"/>
    </row>
    <row r="49">
      <c r="A49" s="6" t="inlineStr">
        <is>
          <t>UC06.R04</t>
        </is>
      </c>
      <c r="B49" s="6" t="inlineStr">
        <is>
          <t>The system shall compare every aggregate against the spec's declared performance targets for availability, throughput, and latency.</t>
        </is>
      </c>
      <c r="C49" s="6" t="inlineStr">
        <is>
          <t>compare_aggregate_to_target</t>
        </is>
      </c>
      <c r="D49" s="6" t="inlineStr">
        <is>
          <t>UC06</t>
        </is>
      </c>
      <c r="E49" s="6" t="n">
        <v>5</v>
      </c>
      <c r="F49" s="6" t="n"/>
      <c r="G49" s="6" t="n"/>
    </row>
    <row r="50">
      <c r="A50" s="6" t="inlineStr">
        <is>
          <t>UC06.R05</t>
        </is>
      </c>
      <c r="B50" s="6" t="inlineStr">
        <is>
          <t>The system shall compute a metric deviation value for every aggregate that falls outside the spec's declared target.</t>
        </is>
      </c>
      <c r="C50" s="6" t="inlineStr">
        <is>
          <t>compute_metric_deviation</t>
        </is>
      </c>
      <c r="D50" s="6" t="inlineStr">
        <is>
          <t>UC06</t>
        </is>
      </c>
      <c r="E50" s="6" t="n">
        <v>6</v>
      </c>
      <c r="F50" s="6" t="n"/>
      <c r="G50" s="6" t="n"/>
    </row>
    <row r="51">
      <c r="A51" s="6" t="inlineStr">
        <is>
          <t>UC06.R06</t>
        </is>
      </c>
      <c r="B51" s="6" t="inlineStr">
        <is>
          <t>The system shall suppress deviations whose magnitude is below DEVIATION_SUPPRESSION_THRESHOLD to prevent noise surfacing.</t>
        </is>
      </c>
      <c r="C51" s="6" t="inlineStr">
        <is>
          <t>suppress_noise_deviations</t>
        </is>
      </c>
      <c r="D51" s="6" t="inlineStr">
        <is>
          <t>UC06</t>
        </is>
      </c>
      <c r="E51" s="6" t="n">
        <v>7</v>
      </c>
      <c r="F51" s="6" t="inlineStr">
        <is>
          <t>DEVIATION_SUPPRESSION_THRESHOLD</t>
        </is>
      </c>
      <c r="G51" s="6" t="n"/>
    </row>
    <row r="52">
      <c r="A52" s="6" t="inlineStr">
        <is>
          <t>UC06.R07</t>
        </is>
      </c>
      <c r="B52" s="6" t="inlineStr">
        <is>
          <t>The system shall query a configured LLM Provider with each unsuppressed deviation to propose candidate improvements.</t>
        </is>
      </c>
      <c r="C52" s="6" t="inlineStr">
        <is>
          <t>propose_candidate_improvements</t>
        </is>
      </c>
      <c r="D52" s="6" t="inlineStr">
        <is>
          <t>UC06</t>
        </is>
      </c>
      <c r="E52" s="6" t="n">
        <v>8</v>
      </c>
      <c r="F52" s="6" t="n"/>
      <c r="G52" s="6" t="inlineStr">
        <is>
          <t>CC.R08</t>
        </is>
      </c>
    </row>
    <row r="53">
      <c r="A53" s="6" t="inlineStr">
        <is>
          <t>UC06.R08</t>
        </is>
      </c>
      <c r="B53" s="6" t="inlineStr">
        <is>
          <t>The system shall link every candidate improvement to the deviating metric and its source sample identifiers.</t>
        </is>
      </c>
      <c r="C53" s="6" t="inlineStr">
        <is>
          <t>link_recommendation_to_metric</t>
        </is>
      </c>
      <c r="D53" s="6" t="inlineStr">
        <is>
          <t>UC06</t>
        </is>
      </c>
      <c r="E53" s="6" t="n">
        <v>9</v>
      </c>
      <c r="F53" s="6" t="n"/>
      <c r="G53" s="6" t="n"/>
    </row>
    <row r="54">
      <c r="A54" s="6" t="inlineStr">
        <is>
          <t>UC06.R09</t>
        </is>
      </c>
      <c r="B54" s="6" t="inlineStr">
        <is>
          <t>The system shall rank candidate improvements by deviation severity and LLM-reported confidence within RECOMMENDATION_LATENCY_SEC of the cycle start.</t>
        </is>
      </c>
      <c r="C54" s="6" t="inlineStr">
        <is>
          <t>rank_recommendations</t>
        </is>
      </c>
      <c r="D54" s="6" t="inlineStr">
        <is>
          <t>UC06</t>
        </is>
      </c>
      <c r="E54" s="6" t="n">
        <v>10</v>
      </c>
      <c r="F54" s="6" t="inlineStr">
        <is>
          <t>RECOMMENDATION_LATENCY_SEC</t>
        </is>
      </c>
      <c r="G54" s="6" t="n"/>
    </row>
    <row r="55">
      <c r="A55" s="6" t="inlineStr">
        <is>
          <t>UC06.R10</t>
        </is>
      </c>
      <c r="B55" s="6" t="inlineStr">
        <is>
          <t>The system shall cap the delivered recommendation list at MAX_RECOMMENDATIONS_PER_CYCLE entries.</t>
        </is>
      </c>
      <c r="C55" s="6" t="inlineStr">
        <is>
          <t>cap_recommendation_list</t>
        </is>
      </c>
      <c r="D55" s="6" t="inlineStr">
        <is>
          <t>UC06</t>
        </is>
      </c>
      <c r="E55" s="6" t="n">
        <v>11</v>
      </c>
      <c r="F55" s="6" t="inlineStr">
        <is>
          <t>MAX_RECOMMENDATIONS_PER_CYCLE</t>
        </is>
      </c>
      <c r="G55" s="6" t="n"/>
    </row>
    <row r="56">
      <c r="A56" s="6" t="inlineStr">
        <is>
          <t>UC06.R11</t>
        </is>
      </c>
      <c r="B56" s="6" t="inlineStr">
        <is>
          <t>The system shall deliver the ranked recommendation list to the Engineering Team Member's recommendation stream.</t>
        </is>
      </c>
      <c r="C56" s="6" t="inlineStr">
        <is>
          <t>deliver_recommendation_list</t>
        </is>
      </c>
      <c r="D56" s="6" t="inlineStr">
        <is>
          <t>UC06</t>
        </is>
      </c>
      <c r="E56" s="6" t="n">
        <v>12</v>
      </c>
      <c r="F56" s="6" t="n"/>
      <c r="G56" s="6" t="n"/>
    </row>
    <row r="57">
      <c r="A57" s="6" t="inlineStr">
        <is>
          <t>UC06.R12</t>
        </is>
      </c>
      <c r="B57" s="6" t="inlineStr">
        <is>
          <t>The system shall notify Product Managers subscribed to the project of the recommendation cycle completion.</t>
        </is>
      </c>
      <c r="C57" s="6" t="inlineStr">
        <is>
          <t>notify_pm_of_cycle</t>
        </is>
      </c>
      <c r="D57" s="6" t="inlineStr">
        <is>
          <t>UC06</t>
        </is>
      </c>
      <c r="E57" s="6" t="n">
        <v>15</v>
      </c>
      <c r="F57" s="6" t="n"/>
      <c r="G57" s="6" t="n"/>
    </row>
    <row r="58">
      <c r="A58" s="6" t="inlineStr">
        <is>
          <t>UC06.R13</t>
        </is>
      </c>
      <c r="B58" s="6" t="inlineStr">
        <is>
          <t>The system shall record an audit entry for the recommendation cycle with the window boundaries, sample count, deviation count, recommendation count, and timestamp.</t>
        </is>
      </c>
      <c r="C58" s="6" t="inlineStr">
        <is>
          <t>audit_recommendation_cycle</t>
        </is>
      </c>
      <c r="D58" s="6" t="inlineStr">
        <is>
          <t>UC06</t>
        </is>
      </c>
      <c r="E58" s="6" t="n">
        <v>16</v>
      </c>
      <c r="F58" s="6" t="n"/>
      <c r="G58" s="6" t="inlineStr">
        <is>
          <t>CC.R02</t>
        </is>
      </c>
    </row>
    <row r="59">
      <c r="A59" s="6" t="inlineStr">
        <is>
          <t>UC06.R14</t>
        </is>
      </c>
      <c r="B59" s="6" t="inlineStr">
        <is>
          <t>The system shall persist the Engineering Team Member's action per recommendation with actor identity and timestamp.</t>
        </is>
      </c>
      <c r="C59" s="6" t="inlineStr">
        <is>
          <t>persist_recommendation_action</t>
        </is>
      </c>
      <c r="D59" s="6" t="inlineStr">
        <is>
          <t>UC06</t>
        </is>
      </c>
      <c r="E59" s="6" t="n">
        <v>18</v>
      </c>
      <c r="F59" s="6" t="n"/>
      <c r="G59" s="6" t="n"/>
    </row>
    <row r="60">
      <c r="A60" s="6" t="inlineStr">
        <is>
          <t>UC06.R15</t>
        </is>
      </c>
      <c r="B60" s="6" t="inlineStr">
        <is>
          <t>The system shall surface a proactive feature candidate when a deviation indicates missing functionality.</t>
        </is>
      </c>
      <c r="C60" s="6" t="inlineStr">
        <is>
          <t>surface_feature_candidate</t>
        </is>
      </c>
      <c r="D60" s="6" t="inlineStr">
        <is>
          <t>UC06</t>
        </is>
      </c>
      <c r="E60" s="6" t="n">
        <v>19</v>
      </c>
      <c r="F60" s="6" t="n"/>
      <c r="G60" s="6" t="n"/>
    </row>
    <row r="61">
      <c r="A61" s="6" t="inlineStr">
        <is>
          <t>UC06.R16</t>
        </is>
      </c>
      <c r="B61" s="6" t="inlineStr">
        <is>
          <t>The system shall refrain from writing any recommendation back to the customer system in v1 scope.</t>
        </is>
      </c>
      <c r="C61" s="6" t="inlineStr">
        <is>
          <t>enforce_read_only_posture</t>
        </is>
      </c>
      <c r="D61" s="6" t="inlineStr">
        <is>
          <t>UC06</t>
        </is>
      </c>
      <c r="E61" s="6" t="n">
        <v>20</v>
      </c>
      <c r="F61" s="6" t="n"/>
      <c r="G61" s="6" t="n"/>
    </row>
    <row r="62">
      <c r="A62" s="6" t="inlineStr">
        <is>
          <t>UC08.R01</t>
        </is>
      </c>
      <c r="B62" s="6" t="inlineStr">
        <is>
          <t>The system shall receive every draft tech-stack recommendation from the spec generator or recommender with the technology name and the claimed performance capability.</t>
        </is>
      </c>
      <c r="C62" s="6" t="inlineStr">
        <is>
          <t>receive_draft_recommendation</t>
        </is>
      </c>
      <c r="D62" s="6" t="inlineStr">
        <is>
          <t>UC08</t>
        </is>
      </c>
      <c r="E62" s="6" t="n">
        <v>1</v>
      </c>
      <c r="F62" s="6" t="n"/>
      <c r="G62" s="6" t="n"/>
    </row>
    <row r="63">
      <c r="A63" s="6" t="inlineStr">
        <is>
          <t>UC08.R02</t>
        </is>
      </c>
      <c r="B63" s="6" t="inlineStr">
        <is>
          <t>The system shall parse every draft tech-stack recommendation to extract the technology identifier and the claimed performance capability.</t>
        </is>
      </c>
      <c r="C63" s="6" t="inlineStr">
        <is>
          <t>parse_recommendation</t>
        </is>
      </c>
      <c r="D63" s="6" t="inlineStr">
        <is>
          <t>UC08</t>
        </is>
      </c>
      <c r="E63" s="6" t="n">
        <v>2</v>
      </c>
      <c r="F63" s="6" t="n"/>
      <c r="G63" s="6" t="n"/>
    </row>
    <row r="64">
      <c r="A64" s="6" t="inlineStr">
        <is>
          <t>UC08.R03</t>
        </is>
      </c>
      <c r="B64" s="6" t="inlineStr">
        <is>
          <t>The system shall classify the claimed capability into exactly one metric class drawn from availability, throughput, or latency before querying any external source.</t>
        </is>
      </c>
      <c r="C64" s="6" t="inlineStr">
        <is>
          <t>classify_capability_metric</t>
        </is>
      </c>
      <c r="D64" s="6" t="inlineStr">
        <is>
          <t>UC08</t>
        </is>
      </c>
      <c r="E64" s="6" t="n">
        <v>3</v>
      </c>
      <c r="F64" s="6" t="n"/>
      <c r="G64" s="6" t="n"/>
    </row>
    <row r="65">
      <c r="A65" s="6" t="inlineStr">
        <is>
          <t>UC08.R04</t>
        </is>
      </c>
      <c r="B65" s="6" t="inlineStr">
        <is>
          <t>The system shall query Documentation Sources for published performance data matching the technology identifier.</t>
        </is>
      </c>
      <c r="C65" s="6" t="inlineStr">
        <is>
          <t>query_documentation_sources</t>
        </is>
      </c>
      <c r="D65" s="6" t="inlineStr">
        <is>
          <t>UC08</t>
        </is>
      </c>
      <c r="E65" s="6" t="n">
        <v>4</v>
      </c>
      <c r="F65" s="6" t="n"/>
      <c r="G65" s="6" t="n"/>
    </row>
    <row r="66">
      <c r="A66" s="6" t="inlineStr">
        <is>
          <t>UC08.R05</t>
        </is>
      </c>
      <c r="B66" s="6" t="inlineStr">
        <is>
          <t>The system shall query Cloud Providers for baseline availability and pricing data matching the technology identifier.</t>
        </is>
      </c>
      <c r="C66" s="6" t="inlineStr">
        <is>
          <t>query_cloud_providers</t>
        </is>
      </c>
      <c r="D66" s="6" t="inlineStr">
        <is>
          <t>UC08</t>
        </is>
      </c>
      <c r="E66" s="6" t="n">
        <v>6</v>
      </c>
      <c r="F66" s="6" t="n"/>
      <c r="G66" s="6" t="n"/>
    </row>
    <row r="67">
      <c r="A67" s="6" t="inlineStr">
        <is>
          <t>UC08.R06</t>
        </is>
      </c>
      <c r="B67" s="6" t="inlineStr">
        <is>
          <t>The system shall resolve the recommendation to a concrete value for the classified metric using only the cited external sources.</t>
        </is>
      </c>
      <c r="C67" s="6" t="inlineStr">
        <is>
          <t>resolve_metric_value</t>
        </is>
      </c>
      <c r="D67" s="6" t="inlineStr">
        <is>
          <t>UC08</t>
        </is>
      </c>
      <c r="E67" s="6" t="n">
        <v>8</v>
      </c>
      <c r="F67" s="6" t="n"/>
      <c r="G67" s="6" t="n"/>
    </row>
    <row r="68">
      <c r="A68" s="6" t="inlineStr">
        <is>
          <t>UC08.R07</t>
        </is>
      </c>
      <c r="B68" s="6" t="inlineStr">
        <is>
          <t>The system shall validate that every recommendation's claimed capability is supported by at least one cited external source.</t>
        </is>
      </c>
      <c r="C68" s="6" t="inlineStr">
        <is>
          <t>validate_external_citation</t>
        </is>
      </c>
      <c r="D68" s="6" t="inlineStr">
        <is>
          <t>UC08</t>
        </is>
      </c>
      <c r="E68" s="6" t="n">
        <v>9</v>
      </c>
      <c r="F68" s="6" t="n"/>
      <c r="G68" s="6" t="n"/>
    </row>
    <row r="69">
      <c r="A69" s="6" t="inlineStr">
        <is>
          <t>UC08.R08</t>
        </is>
      </c>
      <c r="B69" s="6" t="inlineStr">
        <is>
          <t>The system shall compute a traceback confidence score in the range zero to one for every resolved recommendation.</t>
        </is>
      </c>
      <c r="C69" s="6" t="inlineStr">
        <is>
          <t>compute_traceback_confidence</t>
        </is>
      </c>
      <c r="D69" s="6" t="inlineStr">
        <is>
          <t>UC08</t>
        </is>
      </c>
      <c r="E69" s="6" t="n">
        <v>10</v>
      </c>
      <c r="F69" s="6" t="n"/>
      <c r="G69" s="6" t="n"/>
    </row>
    <row r="70">
      <c r="A70" s="6" t="inlineStr">
        <is>
          <t>UC08.R09</t>
        </is>
      </c>
      <c r="B70" s="6" t="inlineStr">
        <is>
          <t>The system shall record the traceback triple for every recommendation with fields recommendation, metric value, metric class, source citation, confidence, and cited_at timestamp.</t>
        </is>
      </c>
      <c r="C70" s="6" t="inlineStr">
        <is>
          <t>record_traceback_triple</t>
        </is>
      </c>
      <c r="D70" s="6" t="inlineStr">
        <is>
          <t>UC08</t>
        </is>
      </c>
      <c r="E70" s="6" t="n">
        <v>11</v>
      </c>
      <c r="F70" s="6" t="n"/>
      <c r="G70" s="6" t="n"/>
    </row>
    <row r="71">
      <c r="A71" s="6" t="inlineStr">
        <is>
          <t>UC08.R10</t>
        </is>
      </c>
      <c r="B71" s="6" t="inlineStr">
        <is>
          <t>The system shall flag a recommendation for human review when the traceback confidence score is below TRACEBACK_MIN_CONFIDENCE.</t>
        </is>
      </c>
      <c r="C71" s="6" t="inlineStr">
        <is>
          <t>flag_low_confidence_recommendation</t>
        </is>
      </c>
      <c r="D71" s="6" t="inlineStr">
        <is>
          <t>UC08</t>
        </is>
      </c>
      <c r="E71" s="6" t="n">
        <v>12</v>
      </c>
      <c r="F71" s="6" t="inlineStr">
        <is>
          <t>TRACEBACK_MIN_CONFIDENCE</t>
        </is>
      </c>
      <c r="G71" s="6" t="n"/>
    </row>
    <row r="72">
      <c r="A72" s="6" t="inlineStr">
        <is>
          <t>UC08.R11</t>
        </is>
      </c>
      <c r="B72" s="6" t="inlineStr">
        <is>
          <t>The system shall attach the recorded traceback triple to the recommendation in the spec when the confidence score meets or exceeds TRACEBACK_MIN_CONFIDENCE.</t>
        </is>
      </c>
      <c r="C72" s="6" t="inlineStr">
        <is>
          <t>attach_traceback_to_spec</t>
        </is>
      </c>
      <c r="D72" s="6" t="inlineStr">
        <is>
          <t>UC08</t>
        </is>
      </c>
      <c r="E72" s="6" t="n">
        <v>14</v>
      </c>
      <c r="F72" s="6" t="inlineStr">
        <is>
          <t>TRACEBACK_MIN_CONFIDENCE</t>
        </is>
      </c>
      <c r="G72" s="6" t="n"/>
    </row>
    <row r="73">
      <c r="A73" s="6" t="inlineStr">
        <is>
          <t>UC08.R12</t>
        </is>
      </c>
      <c r="B73" s="6" t="inlineStr">
        <is>
          <t>The system shall refuse to emit a spec in which fewer than TRACEBACK_COVERAGE_PCT of tech-stack recommendations carry an attached traceback triple.</t>
        </is>
      </c>
      <c r="C73" s="6" t="inlineStr">
        <is>
          <t>enforce_traceback_coverage</t>
        </is>
      </c>
      <c r="D73" s="6" t="inlineStr">
        <is>
          <t>UC08</t>
        </is>
      </c>
      <c r="E73" s="6" t="n">
        <v>15</v>
      </c>
      <c r="F73" s="6" t="inlineStr">
        <is>
          <t>TRACEBACK_COVERAGE_PCT</t>
        </is>
      </c>
      <c r="G73" s="6" t="n"/>
    </row>
    <row r="74">
      <c r="A74" s="6" t="inlineStr">
        <is>
          <t>UC08.R13</t>
        </is>
      </c>
      <c r="B74" s="6" t="inlineStr">
        <is>
          <t>The system shall record an audit entry for every traceback event with recommendation identifier, metric class, source citation, confidence, and timestamp.</t>
        </is>
      </c>
      <c r="C74" s="6" t="inlineStr">
        <is>
          <t>audit_traceback_event</t>
        </is>
      </c>
      <c r="D74" s="6" t="inlineStr">
        <is>
          <t>UC08</t>
        </is>
      </c>
      <c r="E74" s="6" t="n">
        <v>16</v>
      </c>
      <c r="F74" s="6" t="n"/>
      <c r="G74" s="6" t="inlineStr">
        <is>
          <t>CC.R02</t>
        </is>
      </c>
    </row>
    <row r="75">
      <c r="A75" s="6" t="inlineStr">
        <is>
          <t>UC08.R14</t>
        </is>
      </c>
      <c r="B75" s="6" t="inlineStr">
        <is>
          <t>The system shall return every traced recommendation to the calling use case within TRACEBACK_LATENCY_SEC of receipt.</t>
        </is>
      </c>
      <c r="C75" s="6" t="inlineStr">
        <is>
          <t>return_traced_recommendation</t>
        </is>
      </c>
      <c r="D75" s="6" t="inlineStr">
        <is>
          <t>UC08</t>
        </is>
      </c>
      <c r="E75" s="6" t="n">
        <v>17</v>
      </c>
      <c r="F75" s="6" t="inlineStr">
        <is>
          <t>TRACEBACK_LATENCY_SEC</t>
        </is>
      </c>
      <c r="G75" s="6" t="n"/>
    </row>
    <row r="76">
      <c r="A76" s="6" t="inlineStr">
        <is>
          <t>UC11.R01</t>
        </is>
      </c>
      <c r="B76" s="6" t="inlineStr">
        <is>
          <t>The system shall authenticate the Engineering Team Member's session before accepting customer connection inputs.</t>
        </is>
      </c>
      <c r="C76" s="6" t="inlineStr">
        <is>
          <t>authenticate_session</t>
        </is>
      </c>
      <c r="D76" s="6" t="inlineStr">
        <is>
          <t>UC11</t>
        </is>
      </c>
      <c r="E76" s="6" t="n">
        <v>2</v>
      </c>
      <c r="F76" s="6" t="n"/>
      <c r="G76" s="6" t="inlineStr">
        <is>
          <t>CC.R01</t>
        </is>
      </c>
    </row>
    <row r="77">
      <c r="A77" s="6" t="inlineStr">
        <is>
          <t>UC11.R02</t>
        </is>
      </c>
      <c r="B77" s="6" t="inlineStr">
        <is>
          <t>The system shall validate that every supplied endpoint is a well-formed URL resolvable from the c1v egress network before proceeding.</t>
        </is>
      </c>
      <c r="C77" s="6" t="inlineStr">
        <is>
          <t>validate_endpoint_urls</t>
        </is>
      </c>
      <c r="D77" s="6" t="inlineStr">
        <is>
          <t>UC11</t>
        </is>
      </c>
      <c r="E77" s="6" t="n">
        <v>3</v>
      </c>
      <c r="F77" s="6" t="n"/>
      <c r="G77" s="6" t="n"/>
    </row>
    <row r="78">
      <c r="A78" s="6" t="inlineStr">
        <is>
          <t>UC11.R03</t>
        </is>
      </c>
      <c r="B78" s="6" t="inlineStr">
        <is>
          <t>The system shall initiate an OAuth or OIDC authorization handshake with the customer Identity Provider using the supplied configuration.</t>
        </is>
      </c>
      <c r="C78" s="6" t="inlineStr">
        <is>
          <t>initiate_idp_handshake</t>
        </is>
      </c>
      <c r="D78" s="6" t="inlineStr">
        <is>
          <t>UC11</t>
        </is>
      </c>
      <c r="E78" s="6" t="n">
        <v>4</v>
      </c>
      <c r="F78" s="6" t="n"/>
      <c r="G78" s="6" t="n"/>
    </row>
    <row r="79">
      <c r="A79" s="6" t="inlineStr">
        <is>
          <t>UC11.R04</t>
        </is>
      </c>
      <c r="B79" s="6" t="inlineStr">
        <is>
          <t>The system shall reject the authorization when the returned scope contains any write-capability grant.</t>
        </is>
      </c>
      <c r="C79" s="6" t="inlineStr">
        <is>
          <t>reject_write_scope_grant</t>
        </is>
      </c>
      <c r="D79" s="6" t="inlineStr">
        <is>
          <t>UC11</t>
        </is>
      </c>
      <c r="E79" s="6" t="n">
        <v>6</v>
      </c>
      <c r="F79" s="6" t="n"/>
      <c r="G79" s="6" t="n"/>
    </row>
    <row r="80">
      <c r="A80" s="6" t="inlineStr">
        <is>
          <t>UC11.R05</t>
        </is>
      </c>
      <c r="B80" s="6" t="inlineStr">
        <is>
          <t>The system shall persist the Identity Provider credential in encrypted storage with a recorded expiry at ENCRYPTED_CREDENTIAL_EXPIRY_DAYS.</t>
        </is>
      </c>
      <c r="C80" s="6" t="inlineStr">
        <is>
          <t>persist_encrypted_credential</t>
        </is>
      </c>
      <c r="D80" s="6" t="inlineStr">
        <is>
          <t>UC11</t>
        </is>
      </c>
      <c r="E80" s="6" t="n">
        <v>7</v>
      </c>
      <c r="F80" s="6" t="inlineStr">
        <is>
          <t>ENCRYPTED_CREDENTIAL_EXPIRY_DAYS</t>
        </is>
      </c>
      <c r="G80" s="6" t="inlineStr">
        <is>
          <t>CC.R04</t>
        </is>
      </c>
    </row>
    <row r="81">
      <c r="A81" s="6" t="inlineStr">
        <is>
          <t>UC11.R06</t>
        </is>
      </c>
      <c r="B81" s="6" t="inlineStr">
        <is>
          <t>The system shall establish a read-only handle to the customer Version Control endpoint using the credentialed token.</t>
        </is>
      </c>
      <c r="C81" s="6" t="inlineStr">
        <is>
          <t>establish_vcs_handle</t>
        </is>
      </c>
      <c r="D81" s="6" t="inlineStr">
        <is>
          <t>UC11</t>
        </is>
      </c>
      <c r="E81" s="6" t="n">
        <v>8</v>
      </c>
      <c r="F81" s="6" t="n"/>
      <c r="G81" s="6" t="n"/>
    </row>
    <row r="82">
      <c r="A82" s="6" t="inlineStr">
        <is>
          <t>UC11.R07</t>
        </is>
      </c>
      <c r="B82" s="6" t="inlineStr">
        <is>
          <t>The system shall establish a read-only handle to the customer Observability Tools endpoints using the credentialed token.</t>
        </is>
      </c>
      <c r="C82" s="6" t="inlineStr">
        <is>
          <t>establish_observability_handle</t>
        </is>
      </c>
      <c r="D82" s="6" t="inlineStr">
        <is>
          <t>UC11</t>
        </is>
      </c>
      <c r="E82" s="6" t="n">
        <v>10</v>
      </c>
      <c r="F82" s="6" t="n"/>
      <c r="G82" s="6" t="n"/>
    </row>
    <row r="83">
      <c r="A83" s="6" t="inlineStr">
        <is>
          <t>UC11.R08</t>
        </is>
      </c>
      <c r="B83" s="6" t="inlineStr">
        <is>
          <t>The system shall execute a connection-health probe against the Version Control, Observability Tools, and Identity Provider handles and require a success response from each before proceeding.</t>
        </is>
      </c>
      <c r="C83" s="6" t="inlineStr">
        <is>
          <t>probe_connection_health</t>
        </is>
      </c>
      <c r="D83" s="6" t="inlineStr">
        <is>
          <t>UC11</t>
        </is>
      </c>
      <c r="E83" s="6" t="n">
        <v>12</v>
      </c>
      <c r="F83" s="6" t="n"/>
      <c r="G83" s="6" t="n"/>
    </row>
    <row r="84">
      <c r="A84" s="6" t="inlineStr">
        <is>
          <t>UC11.R09</t>
        </is>
      </c>
      <c r="B84" s="6" t="inlineStr">
        <is>
          <t>The system shall measure CPU, memory, and network overhead imposed on the customer system over a baseline probe window of BASELINE_PROBE_WINDOW_SEC.</t>
        </is>
      </c>
      <c r="C84" s="6" t="inlineStr">
        <is>
          <t>measure_customer_overhead</t>
        </is>
      </c>
      <c r="D84" s="6" t="inlineStr">
        <is>
          <t>UC11</t>
        </is>
      </c>
      <c r="E84" s="6" t="n">
        <v>13</v>
      </c>
      <c r="F84" s="6" t="inlineStr">
        <is>
          <t>BASELINE_PROBE_WINDOW_SEC</t>
        </is>
      </c>
      <c r="G84" s="6" t="n"/>
    </row>
    <row r="85">
      <c r="A85" s="6" t="inlineStr">
        <is>
          <t>UC11.R10</t>
        </is>
      </c>
      <c r="B85" s="6" t="inlineStr">
        <is>
          <t>The system shall reject the connection and surface an overhead violation to the Engineering Team Member when measured overhead exceeds MAX_CUSTOMER_SYSTEM_OVERHEAD_PCT.</t>
        </is>
      </c>
      <c r="C85" s="6" t="inlineStr">
        <is>
          <t>reject_on_overhead_violation</t>
        </is>
      </c>
      <c r="D85" s="6" t="inlineStr">
        <is>
          <t>UC11</t>
        </is>
      </c>
      <c r="E85" s="6" t="n">
        <v>14</v>
      </c>
      <c r="F85" s="6" t="inlineStr">
        <is>
          <t>MAX_CUSTOMER_SYSTEM_OVERHEAD_PCT</t>
        </is>
      </c>
      <c r="G85" s="6" t="n"/>
    </row>
    <row r="86">
      <c r="A86" s="6" t="inlineStr">
        <is>
          <t>UC11.R11</t>
        </is>
      </c>
      <c r="B86" s="6" t="inlineStr">
        <is>
          <t>The system shall persist the connection record with Version Control handle reference, Observability handle reference, Identity Provider credential reference, measured overhead percentage, and non-invasive status flag.</t>
        </is>
      </c>
      <c r="C86" s="6" t="inlineStr">
        <is>
          <t>persist_connection_record</t>
        </is>
      </c>
      <c r="D86" s="6" t="inlineStr">
        <is>
          <t>UC11</t>
        </is>
      </c>
      <c r="E86" s="6" t="n">
        <v>15</v>
      </c>
      <c r="F86" s="6" t="n"/>
      <c r="G86" s="6" t="n"/>
    </row>
    <row r="87">
      <c r="A87" s="6" t="inlineStr">
        <is>
          <t>UC11.R12</t>
        </is>
      </c>
      <c r="B87" s="6" t="inlineStr">
        <is>
          <t>The system shall schedule a re-authorization event at CONNECTION_REAUTH_DAYS from the connection establishment timestamp.</t>
        </is>
      </c>
      <c r="C87" s="6" t="inlineStr">
        <is>
          <t>schedule_reauthorization</t>
        </is>
      </c>
      <c r="D87" s="6" t="inlineStr">
        <is>
          <t>UC11</t>
        </is>
      </c>
      <c r="E87" s="6" t="n">
        <v>16</v>
      </c>
      <c r="F87" s="6" t="inlineStr">
        <is>
          <t>CONNECTION_REAUTH_DAYS</t>
        </is>
      </c>
      <c r="G87" s="6" t="n"/>
    </row>
    <row r="88">
      <c r="A88" s="6" t="inlineStr">
        <is>
          <t>UC11.R13</t>
        </is>
      </c>
      <c r="B88" s="6" t="inlineStr">
        <is>
          <t>The system shall record an audit entry for the connection establishment with Engineering Team Member identity, customer organization identifier, endpoint set, measured overhead, and timestamp.</t>
        </is>
      </c>
      <c r="C88" s="6" t="inlineStr">
        <is>
          <t>audit_connection_establishment</t>
        </is>
      </c>
      <c r="D88" s="6" t="inlineStr">
        <is>
          <t>UC11</t>
        </is>
      </c>
      <c r="E88" s="6" t="n">
        <v>17</v>
      </c>
      <c r="F88" s="6" t="n"/>
      <c r="G88" s="6" t="inlineStr">
        <is>
          <t>CC.R02</t>
        </is>
      </c>
    </row>
    <row r="89">
      <c r="A89" s="6" t="inlineStr">
        <is>
          <t>UC11.R14</t>
        </is>
      </c>
      <c r="B89" s="6" t="inlineStr">
        <is>
          <t>The system shall complete the connection establishment within CONNECTION_ESTABLISHMENT_BUDGET_SEC of receiving the connection inputs.</t>
        </is>
      </c>
      <c r="C89" s="6" t="inlineStr">
        <is>
          <t>enforce_connection_budget</t>
        </is>
      </c>
      <c r="D89" s="6" t="inlineStr">
        <is>
          <t>UC11</t>
        </is>
      </c>
      <c r="E89" s="6" t="n">
        <v>18</v>
      </c>
      <c r="F89" s="6" t="inlineStr">
        <is>
          <t>CONNECTION_ESTABLISHMENT_BUDGET_SEC</t>
        </is>
      </c>
      <c r="G89" s="6" t="n"/>
    </row>
    <row r="90">
      <c r="A90" s="6" t="inlineStr">
        <is>
          <t>UC11.R15</t>
        </is>
      </c>
      <c r="B90" s="6" t="inlineStr">
        <is>
          <t>The system shall return the connection identifier, measured overhead percentage, non-invasive status flag, and re-authorization due date to the Engineering Team Member.</t>
        </is>
      </c>
      <c r="C90" s="6" t="inlineStr">
        <is>
          <t>return_connection_confirmation</t>
        </is>
      </c>
      <c r="D90" s="6" t="inlineStr">
        <is>
          <t>UC11</t>
        </is>
      </c>
      <c r="E90" s="6" t="n">
        <v>19</v>
      </c>
      <c r="F90" s="6" t="n"/>
      <c r="G90" s="6" t="n"/>
    </row>
    <row r="91">
      <c r="A91" s="6" t="inlineStr">
        <is>
          <t>CC.R01</t>
        </is>
      </c>
      <c r="B91" s="6" t="inlineStr">
        <is>
          <t>The system shall authenticate every human actor's session via the organization's configured Identity Provider before exposing any protected action.</t>
        </is>
      </c>
      <c r="C91" s="6" t="inlineStr">
        <is>
          <t>authenticate_session</t>
        </is>
      </c>
      <c r="D91" s="6" t="inlineStr">
        <is>
          <t>cross-cutting</t>
        </is>
      </c>
      <c r="E91" s="6" t="n"/>
      <c r="F91" s="6" t="inlineStr">
        <is>
          <t>SESSION_TTL_MIN</t>
        </is>
      </c>
      <c r="G91" s="6" t="n"/>
    </row>
    <row r="92">
      <c r="A92" s="6" t="inlineStr">
        <is>
          <t>CC.R02</t>
        </is>
      </c>
      <c r="B92" s="6" t="inlineStr">
        <is>
          <t>The system shall record an audit entry for every state-changing action with actor identity, action type, prior state, new state, and timestamp.</t>
        </is>
      </c>
      <c r="C92" s="6" t="inlineStr">
        <is>
          <t>write_audit_entry</t>
        </is>
      </c>
      <c r="D92" s="6" t="inlineStr">
        <is>
          <t>cross-cutting</t>
        </is>
      </c>
      <c r="E92" s="6" t="n"/>
      <c r="F92" s="6" t="n"/>
      <c r="G92" s="6" t="n"/>
    </row>
    <row r="93">
      <c r="A93" s="6" t="inlineStr">
        <is>
          <t>CC.R03</t>
        </is>
      </c>
      <c r="B93" s="6" t="inlineStr">
        <is>
          <t>The system shall enforce role-based access control on every protected action using the organization's configured role definitions.</t>
        </is>
      </c>
      <c r="C93" s="6" t="inlineStr">
        <is>
          <t>enforce_rbac</t>
        </is>
      </c>
      <c r="D93" s="6" t="inlineStr">
        <is>
          <t>cross-cutting</t>
        </is>
      </c>
      <c r="E93" s="6" t="n"/>
      <c r="F93" s="6" t="n"/>
      <c r="G93" s="6" t="n"/>
    </row>
    <row r="94">
      <c r="A94" s="6" t="inlineStr">
        <is>
          <t>CC.R04</t>
        </is>
      </c>
      <c r="B94" s="6" t="inlineStr">
        <is>
          <t>The system shall encrypt every persisted credential and secret at rest using the encryption class declared in ENCRYPTION_CLASS.</t>
        </is>
      </c>
      <c r="C94" s="6" t="inlineStr">
        <is>
          <t>encrypt_secrets_at_rest</t>
        </is>
      </c>
      <c r="D94" s="6" t="inlineStr">
        <is>
          <t>cross-cutting</t>
        </is>
      </c>
      <c r="E94" s="6" t="n"/>
      <c r="F94" s="6" t="inlineStr">
        <is>
          <t>ENCRYPTION_CLASS</t>
        </is>
      </c>
      <c r="G94" s="6" t="n"/>
    </row>
    <row r="95">
      <c r="A95" s="6" t="inlineStr">
        <is>
          <t>CC.R05</t>
        </is>
      </c>
      <c r="B95" s="6" t="inlineStr">
        <is>
          <t>The system shall retain every audit entry for at least AUDIT_RETENTION_DAYS before archival or deletion.</t>
        </is>
      </c>
      <c r="C95" s="6" t="inlineStr">
        <is>
          <t>retain_audit_trail</t>
        </is>
      </c>
      <c r="D95" s="6" t="inlineStr">
        <is>
          <t>cross-cutting</t>
        </is>
      </c>
      <c r="E95" s="6" t="n"/>
      <c r="F95" s="6" t="inlineStr">
        <is>
          <t>AUDIT_RETENTION_DAYS</t>
        </is>
      </c>
      <c r="G95" s="6" t="n"/>
    </row>
    <row r="96">
      <c r="A96" s="6" t="inlineStr">
        <is>
          <t>CC.R06</t>
        </is>
      </c>
      <c r="B96" s="6" t="inlineStr">
        <is>
          <t>The system shall bound external-actor-initiated requests to at most RATE_LIMIT_RPM per authenticated actor per minute and reject excess requests with a rate-limit response.</t>
        </is>
      </c>
      <c r="C96" s="6" t="inlineStr">
        <is>
          <t>enforce_rate_limit</t>
        </is>
      </c>
      <c r="D96" s="6" t="inlineStr">
        <is>
          <t>cross-cutting</t>
        </is>
      </c>
      <c r="E96" s="6" t="n"/>
      <c r="F96" s="6" t="inlineStr">
        <is>
          <t>RATE_LIMIT_RPM</t>
        </is>
      </c>
      <c r="G96" s="6" t="n"/>
    </row>
    <row r="97">
      <c r="A97" s="6" t="inlineStr">
        <is>
          <t>CC.R07</t>
        </is>
      </c>
      <c r="B97" s="6" t="inlineStr">
        <is>
          <t>The system shall fall back to the next configured LLM Provider in the organization's fallback ordering when the current provider fails to respond within LLM_PROVIDER_TIMEOUT_SEC.</t>
        </is>
      </c>
      <c r="C97" s="6" t="inlineStr">
        <is>
          <t>fallback_llm_provider</t>
        </is>
      </c>
      <c r="D97" s="6" t="inlineStr">
        <is>
          <t>cross-cutting</t>
        </is>
      </c>
      <c r="E97" s="6" t="n"/>
      <c r="F97" s="6" t="inlineStr">
        <is>
          <t>LLM_PROVIDER_TIMEOUT_SEC</t>
        </is>
      </c>
      <c r="G97" s="6" t="n"/>
    </row>
    <row r="98">
      <c r="A98" s="6" t="inlineStr">
        <is>
          <t>CC.R08</t>
        </is>
      </c>
      <c r="B98" s="6" t="inlineStr">
        <is>
          <t>The system shall emit a structured error response to the initiating actor when a protected action fails, including an error identifier, a retry-eligibility flag, and a support reference identifier.</t>
        </is>
      </c>
      <c r="C98" s="6" t="inlineStr">
        <is>
          <t>emit_structured_error</t>
        </is>
      </c>
      <c r="D98" s="6" t="inlineStr">
        <is>
          <t>cross-cutting</t>
        </is>
      </c>
      <c r="E98" s="6" t="n"/>
      <c r="F98" s="6" t="n"/>
      <c r="G98" s="6" t="n"/>
    </row>
    <row r="99">
      <c r="A99" s="6" t="inlineStr">
        <is>
          <t>CC.R09</t>
        </is>
      </c>
      <c r="B99" s="6" t="inlineStr">
        <is>
          <t>The system shall emit structured logs and traces for every action at the log level declared in LOG_LEVEL_PROD with trace sampling at TRACE_SAMPLING_RATE.</t>
        </is>
      </c>
      <c r="C99" s="6" t="inlineStr">
        <is>
          <t>emit_observability_signals</t>
        </is>
      </c>
      <c r="D99" s="6" t="inlineStr">
        <is>
          <t>cross-cutting</t>
        </is>
      </c>
      <c r="E99" s="6" t="n"/>
      <c r="F99" s="6" t="inlineStr">
        <is>
          <t>LOG_LEVEL_PROD, TRACE_SAMPLING_RATE</t>
        </is>
      </c>
      <c r="G99" s="6" t="n"/>
    </row>
    <row r="100">
      <c r="A100" s="6" t="inlineStr">
        <is>
          <t>CC.R10</t>
        </is>
      </c>
      <c r="B100" s="6" t="inlineStr">
        <is>
          <t>The system shall export an audit evidence pack in the format declared in EVIDENCE_EXPORT_FORMATS when a compliance export request is received.</t>
        </is>
      </c>
      <c r="C100" s="6" t="inlineStr">
        <is>
          <t>export_compliance_evidence</t>
        </is>
      </c>
      <c r="D100" s="6" t="inlineStr">
        <is>
          <t>cross-cutting</t>
        </is>
      </c>
      <c r="E100" s="6" t="n"/>
      <c r="F100" s="6" t="inlineStr">
        <is>
          <t>EVIDENCE_EXPORT_FORMATS</t>
        </is>
      </c>
      <c r="G100"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30" customWidth="1" min="5" max="5"/>
    <col width="18" customWidth="1" min="6" max="6"/>
    <col width="18" customWidth="1" min="7" max="7"/>
    <col width="18" customWidth="1" min="8" max="8"/>
    <col width="60" customWidth="1" min="9" max="9"/>
  </cols>
  <sheetData>
    <row r="1">
      <c r="A1" s="5" t="inlineStr">
        <is>
          <t>constant_name</t>
        </is>
      </c>
      <c r="B1" s="5" t="inlineStr">
        <is>
          <t>value</t>
        </is>
      </c>
      <c r="C1" s="5" t="inlineStr">
        <is>
          <t>unit</t>
        </is>
      </c>
      <c r="D1" s="5" t="inlineStr">
        <is>
          <t>category</t>
        </is>
      </c>
      <c r="E1" s="5" t="inlineStr">
        <is>
          <t>derived_from</t>
        </is>
      </c>
      <c r="F1" s="5" t="inlineStr">
        <is>
          <t>source</t>
        </is>
      </c>
      <c r="G1" s="5" t="inlineStr">
        <is>
          <t>owner</t>
        </is>
      </c>
      <c r="H1" s="5" t="inlineStr">
        <is>
          <t>status</t>
        </is>
      </c>
      <c r="I1" s="5" t="inlineStr">
        <is>
          <t>notes</t>
        </is>
      </c>
    </row>
    <row r="2">
      <c r="A2" s="6" t="inlineStr">
        <is>
          <t>FOUNDER_INTAKE_RESPONSE_BUDGET_MS</t>
        </is>
      </c>
      <c r="B2" s="6" t="n">
        <v>2000</v>
      </c>
      <c r="C2" s="6" t="inlineStr">
        <is>
          <t>ms</t>
        </is>
      </c>
      <c r="D2" s="6" t="inlineStr">
        <is>
          <t>latency</t>
        </is>
      </c>
      <c r="E2" s="6" t="inlineStr">
        <is>
          <t>{"type": "nfr", "ref": "NFR.16"}</t>
        </is>
      </c>
      <c r="F2" s="6" t="inlineStr">
        <is>
          <t>software_architecture_system.md (SLO p95 for LLM-backed chat UX)</t>
        </is>
      </c>
      <c r="G2" s="6" t="inlineStr">
        <is>
          <t>Engineering Lead</t>
        </is>
      </c>
      <c r="H2" s="6" t="inlineStr">
        <is>
          <t>Estimate</t>
        </is>
      </c>
      <c r="I2" s="6" t="inlineStr">
        <is>
          <t>Industry p95 for LLM chat. NFR.16 Estimate → constant Estimate.</t>
        </is>
      </c>
    </row>
    <row r="3">
      <c r="A3" s="6" t="inlineStr">
        <is>
          <t>INTAKE_COMPLETENESS_THRESHOLD</t>
        </is>
      </c>
      <c r="B3" s="6" t="n">
        <v>0.85</v>
      </c>
      <c r="C3" s="6" t="inlineStr">
        <is>
          <t>ratio</t>
        </is>
      </c>
      <c r="D3" s="6" t="inlineStr">
        <is>
          <t>maintainability</t>
        </is>
      </c>
      <c r="E3" s="6" t="inlineStr">
        <is>
          <t>{"type": "functional_requirement", "ref": "UC01.R06"}</t>
        </is>
      </c>
      <c r="F3" s="6" t="inlineStr">
        <is>
          <t>apps/product-helper/lib/langchain/agents/intake/completion-detector.ts (production heuristic)</t>
        </is>
      </c>
      <c r="G3" s="6" t="inlineStr">
        <is>
          <t>Engineering Lead</t>
        </is>
      </c>
      <c r="H3" s="6" t="inlineStr">
        <is>
          <t>Estimate</t>
        </is>
      </c>
      <c r="I3" s="6" t="inlineStr">
        <is>
          <t>FR-only anchor — no NFR references this threshold. Kept as a pure FR parameter; derived_from points at the FR that consumes it.</t>
        </is>
      </c>
    </row>
    <row r="4">
      <c r="A4" s="6" t="inlineStr">
        <is>
          <t>SPEC_GENERATION_TIMEOUT_SEC</t>
        </is>
      </c>
      <c r="B4" s="6" t="n">
        <v>300</v>
      </c>
      <c r="C4" s="6" t="inlineStr">
        <is>
          <t>sec</t>
        </is>
      </c>
      <c r="D4" s="6" t="inlineStr">
        <is>
          <t>latency</t>
        </is>
      </c>
      <c r="E4" s="6" t="inlineStr">
        <is>
          <t>{"type": "nfr", "ref": "NFR.17"}</t>
        </is>
      </c>
      <c r="F4" s="6" t="inlineStr">
        <is>
          <t>software_architecture_system.md (multi-agent LLM workflow SLO)</t>
        </is>
      </c>
      <c r="G4" s="6" t="inlineStr">
        <is>
          <t>Engineering Lead</t>
        </is>
      </c>
      <c r="H4" s="6" t="inlineStr">
        <is>
          <t>Estimate</t>
        </is>
      </c>
      <c r="I4" s="6" t="n"/>
    </row>
    <row r="5">
      <c r="A5" s="6" t="inlineStr">
        <is>
          <t>REVIEW_QUEUE_LOAD_BUDGET_MS</t>
        </is>
      </c>
      <c r="B5" s="6" t="n">
        <v>800</v>
      </c>
      <c r="C5" s="6" t="inlineStr">
        <is>
          <t>ms</t>
        </is>
      </c>
      <c r="D5" s="6" t="inlineStr">
        <is>
          <t>latency</t>
        </is>
      </c>
      <c r="E5" s="6" t="inlineStr">
        <is>
          <t>{"type": "nfr", "ref": "NFR.18"}</t>
        </is>
      </c>
      <c r="F5" s="6" t="inlineStr">
        <is>
          <t>api-design-sys-design-kb.md (dashboard initial render p95)</t>
        </is>
      </c>
      <c r="G5" s="6" t="inlineStr">
        <is>
          <t>Engineering Lead</t>
        </is>
      </c>
      <c r="H5" s="6" t="inlineStr">
        <is>
          <t>Estimate</t>
        </is>
      </c>
      <c r="I5" s="6" t="n"/>
    </row>
    <row r="6">
      <c r="A6" s="6" t="inlineStr">
        <is>
          <t>SPEC_RENDER_BUDGET_MS</t>
        </is>
      </c>
      <c r="B6" s="6" t="n">
        <v>1500</v>
      </c>
      <c r="C6" s="6" t="inlineStr">
        <is>
          <t>ms</t>
        </is>
      </c>
      <c r="D6" s="6" t="inlineStr">
        <is>
          <t>latency</t>
        </is>
      </c>
      <c r="E6" s="6" t="inlineStr">
        <is>
          <t>{"type": "nfr", "ref": "NFR.18"}</t>
        </is>
      </c>
      <c r="F6" s="6" t="inlineStr">
        <is>
          <t>api-design-sys-design-kb.md (rich-content render p95)</t>
        </is>
      </c>
      <c r="G6" s="6" t="inlineStr">
        <is>
          <t>Engineering Lead</t>
        </is>
      </c>
      <c r="H6" s="6" t="inlineStr">
        <is>
          <t>Estimate</t>
        </is>
      </c>
      <c r="I6" s="6" t="n"/>
    </row>
    <row r="7">
      <c r="A7" s="6" t="inlineStr">
        <is>
          <t>STATE_TRANSITION_BUDGET_MS</t>
        </is>
      </c>
      <c r="B7" s="6" t="n">
        <v>500</v>
      </c>
      <c r="C7" s="6" t="inlineStr">
        <is>
          <t>ms</t>
        </is>
      </c>
      <c r="D7" s="6" t="inlineStr">
        <is>
          <t>latency</t>
        </is>
      </c>
      <c r="E7" s="6" t="inlineStr">
        <is>
          <t>{"type": "nfr", "ref": "NFR.19"}</t>
        </is>
      </c>
      <c r="F7" s="6" t="inlineStr">
        <is>
          <t>api-design-sys-design-kb.md (user-facing sync write p95)</t>
        </is>
      </c>
      <c r="G7" s="6" t="inlineStr">
        <is>
          <t>Engineering Lead</t>
        </is>
      </c>
      <c r="H7" s="6" t="inlineStr">
        <is>
          <t>Final</t>
        </is>
      </c>
      <c r="I7" s="6" t="inlineStr">
        <is>
          <t>NFR.19 Final + single-source empirical (industry p95 sync write). Promoted Estimate→Final.</t>
        </is>
      </c>
    </row>
    <row r="8">
      <c r="A8" s="6" t="inlineStr">
        <is>
          <t>CLI_EMISSION_TIMEOUT_SEC</t>
        </is>
      </c>
      <c r="B8" s="6" t="n">
        <v>60</v>
      </c>
      <c r="C8" s="6" t="inlineStr">
        <is>
          <t>sec</t>
        </is>
      </c>
      <c r="D8" s="6" t="inlineStr">
        <is>
          <t>latency</t>
        </is>
      </c>
      <c r="E8" s="6" t="inlineStr">
        <is>
          <t>{"type": "nfr", "ref": "NFR.20"}</t>
        </is>
      </c>
      <c r="F8" s="6" t="inlineStr">
        <is>
          <t>software_architecture_system.md (artifact generation SLO)</t>
        </is>
      </c>
      <c r="G8" s="6" t="inlineStr">
        <is>
          <t>Engineering Lead</t>
        </is>
      </c>
      <c r="H8" s="6" t="inlineStr">
        <is>
          <t>Estimate</t>
        </is>
      </c>
      <c r="I8" s="6" t="n"/>
    </row>
    <row r="9">
      <c r="A9" s="6" t="inlineStr">
        <is>
          <t>MAX_CUSTOMER_SYSTEM_OVERHEAD_PCT</t>
        </is>
      </c>
      <c r="B9" s="6" t="n">
        <v>2</v>
      </c>
      <c r="C9" s="6" t="inlineStr">
        <is>
          <t>%</t>
        </is>
      </c>
      <c r="D9" s="6" t="inlineStr">
        <is>
          <t>resiliency</t>
        </is>
      </c>
      <c r="E9" s="6" t="inlineStr">
        <is>
          <t>{"type": "nfr", "ref": "NFR.04"}</t>
        </is>
      </c>
      <c r="F9" s="6" t="inlineStr">
        <is>
          <t>observability-kb.md + FMEA FM.04 mitigation M1</t>
        </is>
      </c>
      <c r="G9" s="6" t="inlineStr">
        <is>
          <t>SRE / DevOps Lead</t>
        </is>
      </c>
      <c r="H9" s="6" t="inlineStr">
        <is>
          <t>Final</t>
        </is>
      </c>
      <c r="I9" s="6" t="inlineStr">
        <is>
          <t>M1 hard-constraint + FMEA-confirmed. NFR.04 Final. Promoted Estimate→Final.</t>
        </is>
      </c>
    </row>
    <row r="10">
      <c r="A10" s="6" t="inlineStr">
        <is>
          <t>AGGREGATION_WINDOW_MIN</t>
        </is>
      </c>
      <c r="B10" s="6" t="n">
        <v>60</v>
      </c>
      <c r="C10" s="6" t="inlineStr">
        <is>
          <t>min</t>
        </is>
      </c>
      <c r="D10" s="6" t="inlineStr">
        <is>
          <t>observability</t>
        </is>
      </c>
      <c r="E10" s="6" t="inlineStr">
        <is>
          <t>{"type": "functional_requirement", "ref": "UC06.R03"}</t>
        </is>
      </c>
      <c r="F10" s="6" t="inlineStr">
        <is>
          <t>observability-kb.md (SLO rolling-window default)</t>
        </is>
      </c>
      <c r="G10" s="6" t="inlineStr">
        <is>
          <t>Engineering Lead</t>
        </is>
      </c>
      <c r="H10" s="6" t="inlineStr">
        <is>
          <t>Estimate</t>
        </is>
      </c>
      <c r="I10" s="6" t="inlineStr">
        <is>
          <t>FR-only anchor — no NFR references this window directly; NFR.05/NFR.06 reference RECOMMENDATION_CADENCE_MIN. Kept as FR parameter.</t>
        </is>
      </c>
    </row>
    <row r="11">
      <c r="A11" s="6" t="inlineStr">
        <is>
          <t>RECOMMENDATION_CADENCE_MIN</t>
        </is>
      </c>
      <c r="B11" s="6" t="n">
        <v>60</v>
      </c>
      <c r="C11" s="6" t="inlineStr">
        <is>
          <t>min</t>
        </is>
      </c>
      <c r="D11" s="6" t="inlineStr">
        <is>
          <t>observability</t>
        </is>
      </c>
      <c r="E11" s="6" t="inlineStr">
        <is>
          <t>{"type": "nfr", "ref": "NFR.06"}</t>
        </is>
      </c>
      <c r="F11" s="6" t="inlineStr">
        <is>
          <t>observability-kb.md (SRE alerting cadence default) + FM.05/FM.06 mitigations</t>
        </is>
      </c>
      <c r="G11" s="6" t="inlineStr">
        <is>
          <t>Engineering Lead</t>
        </is>
      </c>
      <c r="H11" s="6" t="inlineStr">
        <is>
          <t>Estimate</t>
        </is>
      </c>
      <c r="I11" s="6" t="inlineStr">
        <is>
          <t>Referenced by NFR.05 (gap detection) and NFR.06 (cycle budget). NFR.06 Estimate → constant Estimate.</t>
        </is>
      </c>
    </row>
    <row r="12">
      <c r="A12" s="6" t="inlineStr">
        <is>
          <t>DEVIATION_SUPPRESSION_THRESHOLD</t>
        </is>
      </c>
      <c r="B12" s="6" t="n">
        <v>0.1</v>
      </c>
      <c r="C12" s="6" t="inlineStr">
        <is>
          <t>ratio</t>
        </is>
      </c>
      <c r="D12" s="6" t="inlineStr">
        <is>
          <t>observability</t>
        </is>
      </c>
      <c r="E12" s="6" t="inlineStr">
        <is>
          <t>{"type": "functional_requirement", "ref": "UC06.R06"}</t>
        </is>
      </c>
      <c r="F12" s="6" t="inlineStr">
        <is>
          <t>observability-kb.md (noise-suppression heuristic)</t>
        </is>
      </c>
      <c r="G12" s="6" t="inlineStr">
        <is>
          <t>Engineering Lead</t>
        </is>
      </c>
      <c r="H12" s="6" t="inlineStr">
        <is>
          <t>Estimate</t>
        </is>
      </c>
      <c r="I12" s="6" t="inlineStr">
        <is>
          <t>FR-only anchor — signal/noise tuning parameter, not an NFR-level posture.</t>
        </is>
      </c>
    </row>
    <row r="13">
      <c r="A13" s="6" t="inlineStr">
        <is>
          <t>RECOMMENDATION_LATENCY_SEC</t>
        </is>
      </c>
      <c r="B13" s="6" t="n">
        <v>120</v>
      </c>
      <c r="C13" s="6" t="inlineStr">
        <is>
          <t>sec</t>
        </is>
      </c>
      <c r="D13" s="6" t="inlineStr">
        <is>
          <t>latency</t>
        </is>
      </c>
      <c r="E13" s="6" t="inlineStr">
        <is>
          <t>{"type": "nfr", "ref": "NFR.21"}</t>
        </is>
      </c>
      <c r="F13" s="6" t="inlineStr">
        <is>
          <t>software_architecture_system.md (batch-latency SLO)</t>
        </is>
      </c>
      <c r="G13" s="6" t="inlineStr">
        <is>
          <t>Engineering Lead</t>
        </is>
      </c>
      <c r="H13" s="6" t="inlineStr">
        <is>
          <t>Estimate</t>
        </is>
      </c>
      <c r="I13" s="6" t="n"/>
    </row>
    <row r="14">
      <c r="A14" s="6" t="inlineStr">
        <is>
          <t>MAX_RECOMMENDATIONS_PER_CYCLE</t>
        </is>
      </c>
      <c r="B14" s="6" t="n">
        <v>10</v>
      </c>
      <c r="C14" s="6" t="inlineStr">
        <is>
          <t>count</t>
        </is>
      </c>
      <c r="D14" s="6" t="inlineStr">
        <is>
          <t>capacity</t>
        </is>
      </c>
      <c r="E14" s="6" t="inlineStr">
        <is>
          <t>{"type": "nfr", "ref": "NFR.21"}</t>
        </is>
      </c>
      <c r="F14" s="6" t="inlineStr">
        <is>
          <t>api-design-sys-design-kb.md (pagination / list ceiling)</t>
        </is>
      </c>
      <c r="G14" s="6" t="inlineStr">
        <is>
          <t>Product Manager</t>
        </is>
      </c>
      <c r="H14" s="6" t="inlineStr">
        <is>
          <t>Estimate</t>
        </is>
      </c>
      <c r="I14" s="6" t="n"/>
    </row>
    <row r="15">
      <c r="A15" s="6" t="inlineStr">
        <is>
          <t>TRACEBACK_MIN_CONFIDENCE</t>
        </is>
      </c>
      <c r="B15" s="6" t="n">
        <v>0.9</v>
      </c>
      <c r="C15" s="6" t="inlineStr">
        <is>
          <t>ratio</t>
        </is>
      </c>
      <c r="D15" s="6" t="inlineStr">
        <is>
          <t>consistency</t>
        </is>
      </c>
      <c r="E15" s="6" t="inlineStr">
        <is>
          <t>{"type": "functional_requirement", "ref": "UC08.R10"}</t>
        </is>
      </c>
      <c r="F15" s="6" t="inlineStr">
        <is>
          <t>.claude/plans/schema-first-kb-rewrite-and-nfr-engine.md §5.2 (confidence gate default)</t>
        </is>
      </c>
      <c r="G15" s="6" t="inlineStr">
        <is>
          <t>Engineering Lead</t>
        </is>
      </c>
      <c r="H15" s="6" t="inlineStr">
        <is>
          <t>Estimate</t>
        </is>
      </c>
      <c r="I15" s="6" t="inlineStr">
        <is>
          <t>FR-only anchor — per-item confidence gate, not an NFR-level coverage posture (which is NFR.22).</t>
        </is>
      </c>
    </row>
    <row r="16">
      <c r="A16" s="6" t="inlineStr">
        <is>
          <t>TRACEBACK_COVERAGE_PCT</t>
        </is>
      </c>
      <c r="B16" s="6" t="n">
        <v>100</v>
      </c>
      <c r="C16" s="6" t="inlineStr">
        <is>
          <t>%</t>
        </is>
      </c>
      <c r="D16" s="6" t="inlineStr">
        <is>
          <t>compliance</t>
        </is>
      </c>
      <c r="E16" s="6" t="inlineStr">
        <is>
          <t>{"type": "nfr", "ref": "NFR.22"}</t>
        </is>
      </c>
      <c r="F16" s="6" t="inlineStr">
        <is>
          <t>system_scope_summary.hard_constraints[2] (M1 hard constraint)</t>
        </is>
      </c>
      <c r="G16" s="6" t="inlineStr">
        <is>
          <t>David Ancor</t>
        </is>
      </c>
      <c r="H16" s="6" t="inlineStr">
        <is>
          <t>Final</t>
        </is>
      </c>
      <c r="I16" s="6" t="inlineStr">
        <is>
          <t>M1 non-negotiable + NFR.22 Final.</t>
        </is>
      </c>
    </row>
    <row r="17">
      <c r="A17" s="6" t="inlineStr">
        <is>
          <t>TRACEBACK_LATENCY_SEC</t>
        </is>
      </c>
      <c r="B17" s="6" t="n">
        <v>5</v>
      </c>
      <c r="C17" s="6" t="inlineStr">
        <is>
          <t>sec</t>
        </is>
      </c>
      <c r="D17" s="6" t="inlineStr">
        <is>
          <t>latency</t>
        </is>
      </c>
      <c r="E17" s="6" t="inlineStr">
        <is>
          <t>{"type": "nfr", "ref": "NFR.23"}</t>
        </is>
      </c>
      <c r="F17" s="6" t="inlineStr">
        <is>
          <t>software_architecture_system.md (per-item enrichment SLO)</t>
        </is>
      </c>
      <c r="G17" s="6" t="inlineStr">
        <is>
          <t>Engineering Lead</t>
        </is>
      </c>
      <c r="H17" s="6" t="inlineStr">
        <is>
          <t>Estimate</t>
        </is>
      </c>
      <c r="I17" s="6" t="n"/>
    </row>
    <row r="18">
      <c r="A18" s="6" t="inlineStr">
        <is>
          <t>ENCRYPTED_CREDENTIAL_EXPIRY_DAYS</t>
        </is>
      </c>
      <c r="B18" s="6" t="n">
        <v>90</v>
      </c>
      <c r="C18" s="6" t="inlineStr">
        <is>
          <t>days</t>
        </is>
      </c>
      <c r="D18" s="6" t="inlineStr">
        <is>
          <t>security</t>
        </is>
      </c>
      <c r="E18" s="6" t="inlineStr">
        <is>
          <t>{"type": "functional_requirement", "ref": "UC11.R05"}</t>
        </is>
      </c>
      <c r="F18" s="6" t="inlineStr">
        <is>
          <t>api-design-sys-design-kb.md (OAuth credential rotation default)</t>
        </is>
      </c>
      <c r="G18" s="6" t="inlineStr">
        <is>
          <t>Security Lead</t>
        </is>
      </c>
      <c r="H18" s="6" t="inlineStr">
        <is>
          <t>Estimate</t>
        </is>
      </c>
      <c r="I18" s="6" t="inlineStr">
        <is>
          <t>FR-only anchor — credential-rotation policy, not an encryption-class NFR (NFR.13).</t>
        </is>
      </c>
    </row>
    <row r="19">
      <c r="A19" s="6" t="inlineStr">
        <is>
          <t>BASELINE_PROBE_WINDOW_SEC</t>
        </is>
      </c>
      <c r="B19" s="6" t="n">
        <v>300</v>
      </c>
      <c r="C19" s="6" t="inlineStr">
        <is>
          <t>sec</t>
        </is>
      </c>
      <c r="D19" s="6" t="inlineStr">
        <is>
          <t>observability</t>
        </is>
      </c>
      <c r="E19" s="6" t="inlineStr">
        <is>
          <t>{"type": "functional_requirement", "ref": "UC11.R09"}</t>
        </is>
      </c>
      <c r="F19" s="6" t="inlineStr">
        <is>
          <t>observability-kb.md (baseline measurement window default)</t>
        </is>
      </c>
      <c r="G19" s="6" t="inlineStr">
        <is>
          <t>SRE / DevOps Lead</t>
        </is>
      </c>
      <c r="H19" s="6" t="inlineStr">
        <is>
          <t>Estimate</t>
        </is>
      </c>
      <c r="I19" s="6" t="inlineStr">
        <is>
          <t>FR-only anchor — probe window used by NFR.04's overhead measurement but not itself the NFR target.</t>
        </is>
      </c>
    </row>
    <row r="20">
      <c r="A20" s="6" t="inlineStr">
        <is>
          <t>CONNECTION_REAUTH_DAYS</t>
        </is>
      </c>
      <c r="B20" s="6" t="n">
        <v>30</v>
      </c>
      <c r="C20" s="6" t="inlineStr">
        <is>
          <t>days</t>
        </is>
      </c>
      <c r="D20" s="6" t="inlineStr">
        <is>
          <t>security</t>
        </is>
      </c>
      <c r="E20" s="6" t="inlineStr">
        <is>
          <t>{"type": "functional_requirement", "ref": "UC11.R12"}</t>
        </is>
      </c>
      <c r="F20" s="6" t="inlineStr">
        <is>
          <t>api-design-sys-design-kb.md (OAuth refresh cadence)</t>
        </is>
      </c>
      <c r="G20" s="6" t="inlineStr">
        <is>
          <t>Security Lead</t>
        </is>
      </c>
      <c r="H20" s="6" t="inlineStr">
        <is>
          <t>Estimate</t>
        </is>
      </c>
      <c r="I20" s="6" t="inlineStr">
        <is>
          <t>FR-only anchor — periodic re-auth cadence, not a rate-limit or encryption posture.</t>
        </is>
      </c>
    </row>
    <row r="21">
      <c r="A21" s="6" t="inlineStr">
        <is>
          <t>CONNECTION_ESTABLISHMENT_BUDGET_SEC</t>
        </is>
      </c>
      <c r="B21" s="6" t="n">
        <v>120</v>
      </c>
      <c r="C21" s="6" t="inlineStr">
        <is>
          <t>sec</t>
        </is>
      </c>
      <c r="D21" s="6" t="inlineStr">
        <is>
          <t>latency</t>
        </is>
      </c>
      <c r="E21" s="6" t="inlineStr">
        <is>
          <t>{"type": "nfr", "ref": "NFR.24"}</t>
        </is>
      </c>
      <c r="F21" s="6" t="inlineStr">
        <is>
          <t>software_architecture_system.md (onboarding-flow SLO)</t>
        </is>
      </c>
      <c r="G21" s="6" t="inlineStr">
        <is>
          <t>Engineering Lead</t>
        </is>
      </c>
      <c r="H21" s="6" t="inlineStr">
        <is>
          <t>Estimate</t>
        </is>
      </c>
      <c r="I21" s="6" t="n"/>
    </row>
    <row r="22">
      <c r="A22" s="6" t="inlineStr">
        <is>
          <t>SESSION_TTL_MIN</t>
        </is>
      </c>
      <c r="B22" s="6" t="n">
        <v>60</v>
      </c>
      <c r="C22" s="6" t="inlineStr">
        <is>
          <t>min</t>
        </is>
      </c>
      <c r="D22" s="6" t="inlineStr">
        <is>
          <t>security</t>
        </is>
      </c>
      <c r="E22" s="6" t="inlineStr">
        <is>
          <t>{"type": "functional_requirement", "ref": "CC.R01"}</t>
        </is>
      </c>
      <c r="F22" s="6" t="inlineStr">
        <is>
          <t>api-design-sys-design-kb.md (JWT / session TTL default)</t>
        </is>
      </c>
      <c r="G22" s="6" t="inlineStr">
        <is>
          <t>Security Lead</t>
        </is>
      </c>
      <c r="H22" s="6" t="inlineStr">
        <is>
          <t>Estimate</t>
        </is>
      </c>
      <c r="I22" s="6" t="inlineStr">
        <is>
          <t>FR-only anchor — session lifetime, orthogonal to NFR.08 session-scope-binding.</t>
        </is>
      </c>
    </row>
    <row r="23">
      <c r="A23" s="6" t="inlineStr">
        <is>
          <t>ENCRYPTION_CLASS</t>
        </is>
      </c>
      <c r="B23" s="6" t="inlineStr">
        <is>
          <t>AES-256-GCM + TLS-1.3</t>
        </is>
      </c>
      <c r="C23" s="6" t="inlineStr">
        <is>
          <t>enum</t>
        </is>
      </c>
      <c r="D23" s="6" t="inlineStr">
        <is>
          <t>security</t>
        </is>
      </c>
      <c r="E23" s="6" t="inlineStr">
        <is>
          <t>{"type": "nfr", "ref": "NFR.13"}</t>
        </is>
      </c>
      <c r="F23" s="6" t="inlineStr">
        <is>
          <t>software_architecture_system.md + FIPS-aligned SOC2 control baseline</t>
        </is>
      </c>
      <c r="G23" s="6" t="inlineStr">
        <is>
          <t>Security Lead</t>
        </is>
      </c>
      <c r="H23" s="6" t="inlineStr">
        <is>
          <t>Final</t>
        </is>
      </c>
      <c r="I23" s="6" t="inlineStr">
        <is>
          <t>NFR.13 Final + single-source regulatory (SOC2 + FIPS). Promoted Estimate→Final.</t>
        </is>
      </c>
    </row>
    <row r="24">
      <c r="A24" s="6" t="inlineStr">
        <is>
          <t>AUDIT_RETENTION_DAYS</t>
        </is>
      </c>
      <c r="B24" s="6" t="n">
        <v>2555</v>
      </c>
      <c r="C24" s="6" t="inlineStr">
        <is>
          <t>days</t>
        </is>
      </c>
      <c r="D24" s="6" t="inlineStr">
        <is>
          <t>compliance</t>
        </is>
      </c>
      <c r="E24" s="6" t="inlineStr">
        <is>
          <t>{"type": "nfr", "ref": "NFR.15"}</t>
        </is>
      </c>
      <c r="F24" s="6" t="inlineStr">
        <is>
          <t>regulatory_refs union (SOC2 1yr, HIPAA 6yr, GDPR indefinite, PCI-DSS 1yr)</t>
        </is>
      </c>
      <c r="G24" s="6" t="inlineStr">
        <is>
          <t>Compliance Officer</t>
        </is>
      </c>
      <c r="H24" s="6" t="inlineStr">
        <is>
          <t>Estimate</t>
        </is>
      </c>
      <c r="I24" s="6" t="inlineStr">
        <is>
          <t>NFR.15 Estimate until M4 narrows regulatory scope.</t>
        </is>
      </c>
    </row>
    <row r="25">
      <c r="A25" s="6" t="inlineStr">
        <is>
          <t>RATE_LIMIT_RPM</t>
        </is>
      </c>
      <c r="B25" s="6" t="n">
        <v>100</v>
      </c>
      <c r="C25" s="6" t="inlineStr">
        <is>
          <t>req/min</t>
        </is>
      </c>
      <c r="D25" s="6" t="inlineStr">
        <is>
          <t>security</t>
        </is>
      </c>
      <c r="E25" s="6" t="inlineStr">
        <is>
          <t>{"type": "nfr", "ref": "NFR.25"}</t>
        </is>
      </c>
      <c r="F25" s="6" t="inlineStr">
        <is>
          <t>api-design-sys-design-kb.md + production MCP rate limiter</t>
        </is>
      </c>
      <c r="G25" s="6" t="inlineStr">
        <is>
          <t>Engineering Lead</t>
        </is>
      </c>
      <c r="H25" s="6" t="inlineStr">
        <is>
          <t>Final</t>
        </is>
      </c>
      <c r="I25" s="6" t="inlineStr">
        <is>
          <t>NFR.25 Final + single-source empirical (aligned with production MCP limiter). Promoted Estimate→Final.</t>
        </is>
      </c>
    </row>
    <row r="26">
      <c r="A26" s="6" t="inlineStr">
        <is>
          <t>LLM_PROVIDER_TIMEOUT_SEC</t>
        </is>
      </c>
      <c r="B26" s="6" t="n">
        <v>30</v>
      </c>
      <c r="C26" s="6" t="inlineStr">
        <is>
          <t>sec</t>
        </is>
      </c>
      <c r="D26" s="6" t="inlineStr">
        <is>
          <t>resiliency</t>
        </is>
      </c>
      <c r="E26" s="6" t="inlineStr">
        <is>
          <t>{"type": "nfr", "ref": "NFR.12"}</t>
        </is>
      </c>
      <c r="F26" s="6" t="inlineStr">
        <is>
          <t>resilliency-patterns-kb.md (external-service timeout default)</t>
        </is>
      </c>
      <c r="G26" s="6" t="inlineStr">
        <is>
          <t>Engineering Lead</t>
        </is>
      </c>
      <c r="H26" s="6" t="inlineStr">
        <is>
          <t>Estimate</t>
        </is>
      </c>
      <c r="I26" s="6" t="n"/>
    </row>
    <row r="27">
      <c r="A27" s="6" t="inlineStr">
        <is>
          <t>LOG_LEVEL_PROD</t>
        </is>
      </c>
      <c r="B27" s="6" t="inlineStr">
        <is>
          <t>info</t>
        </is>
      </c>
      <c r="C27" s="6" t="inlineStr">
        <is>
          <t>enum</t>
        </is>
      </c>
      <c r="D27" s="6" t="inlineStr">
        <is>
          <t>observability</t>
        </is>
      </c>
      <c r="E27" s="6" t="inlineStr">
        <is>
          <t>{"type": "nfr", "ref": "NFR.26"}</t>
        </is>
      </c>
      <c r="F27" s="6" t="inlineStr">
        <is>
          <t>observability-kb.md (production log level default)</t>
        </is>
      </c>
      <c r="G27" s="6" t="inlineStr">
        <is>
          <t>Engineering Lead</t>
        </is>
      </c>
      <c r="H27" s="6" t="inlineStr">
        <is>
          <t>Estimate</t>
        </is>
      </c>
      <c r="I27" s="6" t="n"/>
    </row>
    <row r="28">
      <c r="A28" s="6" t="inlineStr">
        <is>
          <t>TRACE_SAMPLING_RATE</t>
        </is>
      </c>
      <c r="B28" s="6" t="n">
        <v>0.1</v>
      </c>
      <c r="C28" s="6" t="inlineStr">
        <is>
          <t>ratio</t>
        </is>
      </c>
      <c r="D28" s="6" t="inlineStr">
        <is>
          <t>observability</t>
        </is>
      </c>
      <c r="E28" s="6" t="inlineStr">
        <is>
          <t>{"type": "nfr", "ref": "NFR.26"}</t>
        </is>
      </c>
      <c r="F28" s="6" t="inlineStr">
        <is>
          <t>observability-kb.md (distributed-trace sampling default)</t>
        </is>
      </c>
      <c r="G28" s="6" t="inlineStr">
        <is>
          <t>Engineering Lead</t>
        </is>
      </c>
      <c r="H28" s="6" t="inlineStr">
        <is>
          <t>Estimate</t>
        </is>
      </c>
      <c r="I28" s="6" t="n"/>
    </row>
    <row r="29">
      <c r="A29" s="6" t="inlineStr">
        <is>
          <t>EVIDENCE_EXPORT_FORMATS</t>
        </is>
      </c>
      <c r="B29" s="6" t="inlineStr">
        <is>
          <t>SOC2; HIPAA; GDPR; PCI-DSS</t>
        </is>
      </c>
      <c r="C29" s="6" t="inlineStr">
        <is>
          <t>enum-set</t>
        </is>
      </c>
      <c r="D29" s="6" t="inlineStr">
        <is>
          <t>compliance</t>
        </is>
      </c>
      <c r="E29" s="6" t="inlineStr">
        <is>
          <t>{"type": "functional_requirement", "ref": "CC.R10"}</t>
        </is>
      </c>
      <c r="F29" s="6" t="inlineStr">
        <is>
          <t>system_scope_summary.project_metadata.regulatory_refs</t>
        </is>
      </c>
      <c r="G29" s="6" t="inlineStr">
        <is>
          <t>Compliance Officer</t>
        </is>
      </c>
      <c r="H29" s="6" t="inlineStr">
        <is>
          <t>Estimate</t>
        </is>
      </c>
      <c r="I29" s="6" t="inlineStr">
        <is>
          <t>FR-only anchor — CC.R10 defines the export format list; no distinct NFR covers evidence-export (would duplicate NFR.15 retention).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60" customWidth="1" min="3" max="3"/>
    <col width="30" customWidth="1" min="4" max="4"/>
    <col width="30" customWidth="1" min="5" max="5"/>
    <col width="60" customWidth="1" min="6" max="6"/>
    <col width="18" customWidth="1" min="7" max="7"/>
    <col width="18" customWidth="1" min="8" max="8"/>
  </cols>
  <sheetData>
    <row r="1">
      <c r="A1" s="5" t="inlineStr">
        <is>
          <t>req_id</t>
        </is>
      </c>
      <c r="B1" s="5" t="inlineStr">
        <is>
          <t>text</t>
        </is>
      </c>
      <c r="C1" s="5" t="inlineStr">
        <is>
          <t>requirement_class</t>
        </is>
      </c>
      <c r="D1" s="5" t="inlineStr">
        <is>
          <t>derived_from</t>
        </is>
      </c>
      <c r="E1" s="5" t="inlineStr">
        <is>
          <t>verification_method</t>
        </is>
      </c>
      <c r="F1" s="5" t="inlineStr">
        <is>
          <t>rationale</t>
        </is>
      </c>
      <c r="G1" s="5" t="inlineStr">
        <is>
          <t>status</t>
        </is>
      </c>
      <c r="H1" s="5" t="inlineStr">
        <is>
          <t>target_value</t>
        </is>
      </c>
    </row>
    <row r="2">
      <c r="A2" s="6" t="inlineStr">
        <is>
          <t>NFR.01</t>
        </is>
      </c>
      <c r="B2" s="6" t="inlineStr">
        <is>
          <t>The system shall refuse to emit a Draft Spec (DE.03) that contains any citation not grounded in retrieved DOCUMENTATION SOURCES (DE.09).</t>
        </is>
      </c>
      <c r="C2" s="6" t="inlineStr">
        <is>
          <t>compliance</t>
        </is>
      </c>
      <c r="D2" s="6" t="inlineStr">
        <is>
          <t>{"type": "fmea", "ref": "FM.01"}</t>
        </is>
      </c>
      <c r="E2" s="6" t="inlineStr">
        <is>
          <t>test</t>
        </is>
      </c>
      <c r="F2" s="6" t="inlineStr">
        <is>
          <t>FM.01 rpn=12 — spec generation hallucinating unsupported citations breaches EC10 citation-floor. Mitigation M1/M2 promoted to NFR.</t>
        </is>
      </c>
      <c r="G2" s="6" t="inlineStr">
        <is>
          <t>Final</t>
        </is>
      </c>
      <c r="H2" s="6" t="n"/>
    </row>
    <row r="3">
      <c r="A3" s="6" t="inlineStr">
        <is>
          <t>NFR.02</t>
        </is>
      </c>
      <c r="B3" s="6" t="inlineStr">
        <is>
          <t>The system shall block OR.1 gate firing unless the Compliance Policy (DE.14) digest hash matches the version pinned at spec creation time.</t>
        </is>
      </c>
      <c r="C3" s="6" t="inlineStr">
        <is>
          <t>compliance</t>
        </is>
      </c>
      <c r="D3" s="6" t="inlineStr">
        <is>
          <t>{"type": "fmea", "ref": "FM.02"}</t>
        </is>
      </c>
      <c r="E3" s="6" t="inlineStr">
        <is>
          <t>test</t>
        </is>
      </c>
      <c r="F3" s="6" t="inlineStr">
        <is>
          <t>FM.02 rpn=8 — approval without policy check risks SOC2/HIPAA/GDPR breach. Hard gate mitigation promoted.</t>
        </is>
      </c>
      <c r="G3" s="6" t="inlineStr">
        <is>
          <t>Final</t>
        </is>
      </c>
      <c r="H3" s="6" t="n"/>
    </row>
    <row r="4">
      <c r="A4" s="6" t="inlineStr">
        <is>
          <t>NFR.03</t>
        </is>
      </c>
      <c r="B4" s="6" t="inlineStr">
        <is>
          <t>The system shall bind every Approved Spec (DE.05) handoff to a content-addressed spec_id+version; F.4 shall refuse consumption when the received envelope's hash does not match.</t>
        </is>
      </c>
      <c r="C4" s="6" t="inlineStr">
        <is>
          <t>reliability</t>
        </is>
      </c>
      <c r="D4" s="6" t="inlineStr">
        <is>
          <t>{"type": "fmea", "ref": "FM.03"}</t>
        </is>
      </c>
      <c r="E4" s="6" t="inlineStr">
        <is>
          <t>test</t>
        </is>
      </c>
      <c r="F4" s="6" t="inlineStr">
        <is>
          <t>FM.03 rpn=6 — async retry on IF.03 causes F.4 to emit from stale DE.05. Content-addressing mitigation.</t>
        </is>
      </c>
      <c r="G4" s="6" t="inlineStr">
        <is>
          <t>Final</t>
        </is>
      </c>
      <c r="H4" s="6" t="n"/>
    </row>
    <row r="5">
      <c r="A5" s="6" t="inlineStr">
        <is>
          <t>NFR.04</t>
        </is>
      </c>
      <c r="B5" s="6" t="inlineStr">
        <is>
          <t>The system shall cap the Observability Adapter's measured overhead on the customer system at MAX_CUSTOMER_SYSTEM_OVERHEAD_PCT and refuse to start when self-metered overhead exceeds that budget.</t>
        </is>
      </c>
      <c r="C5" s="6" t="inlineStr">
        <is>
          <t>performance</t>
        </is>
      </c>
      <c r="D5" s="6" t="inlineStr">
        <is>
          <t>{"type": "fmea", "ref": "FM.04"}</t>
        </is>
      </c>
      <c r="E5" s="6" t="inlineStr">
        <is>
          <t>test</t>
        </is>
      </c>
      <c r="F5" s="6" t="inlineStr">
        <is>
          <t>FM.04 rpn=12 — UC11 non-invasiveness hard-constraint. Self-metering mitigation. Value preserved from v2 constant (FMEA confirms 2%).</t>
        </is>
      </c>
      <c r="G5" s="6" t="inlineStr">
        <is>
          <t>Final</t>
        </is>
      </c>
      <c r="H5" s="6" t="inlineStr">
        <is>
          <t>{"value": 2, "unit": "%", "constant_ref": "MAX_CUSTOMER_SYSTEM_OVERHEAD_PCT"}</t>
        </is>
      </c>
    </row>
    <row r="6">
      <c r="A6" s="6" t="inlineStr">
        <is>
          <t>NFR.05</t>
        </is>
      </c>
      <c r="B6" s="6" t="inlineStr">
        <is>
          <t>The system shall emit explicit gap markers in the Metric Stream (DE.08) when ingest heartbeat is absent for more than one RECOMMENDATION_CADENCE_MIN window, and F.6 shall refuse to recommend on stale windows.</t>
        </is>
      </c>
      <c r="C6" s="6" t="inlineStr">
        <is>
          <t>reliability</t>
        </is>
      </c>
      <c r="D6" s="6" t="inlineStr">
        <is>
          <t>{"type": "fmea", "ref": "FM.05"}</t>
        </is>
      </c>
      <c r="E6" s="6" t="inlineStr">
        <is>
          <t>test</t>
        </is>
      </c>
      <c r="F6" s="6" t="inlineStr">
        <is>
          <t>FM.05 rpn=12 — silent metric loss drives F.6 into wrong-answer mode. Heartbeat+gap mitigation promoted.</t>
        </is>
      </c>
      <c r="G6" s="6" t="inlineStr">
        <is>
          <t>Final</t>
        </is>
      </c>
      <c r="H6" s="6" t="inlineStr">
        <is>
          <t>{"value": 60, "unit": "min", "constant_ref": "RECOMMENDATION_CADENCE_MIN"}</t>
        </is>
      </c>
    </row>
    <row r="7">
      <c r="A7" s="6" t="inlineStr">
        <is>
          <t>NFR.06</t>
        </is>
      </c>
      <c r="B7" s="6" t="inlineStr">
        <is>
          <t>The system shall complete every F.6 → F.7 recommendation cycle within RECOMMENDATION_CADENCE_MIN, applying bounded-queue shed-load at F.6 output when the queue saturates.</t>
        </is>
      </c>
      <c r="C7" s="6" t="inlineStr">
        <is>
          <t>performance</t>
        </is>
      </c>
      <c r="D7" s="6" t="inlineStr">
        <is>
          <t>{"type": "fmea", "ref": "FM.06"}</t>
        </is>
      </c>
      <c r="E7" s="6" t="inlineStr">
        <is>
          <t>test</t>
        </is>
      </c>
      <c r="F7" s="6" t="inlineStr">
        <is>
          <t>FM.06 rpn=9 — cadence breach realizes Module-4 open question as incident. Backpressure mitigation.</t>
        </is>
      </c>
      <c r="G7" s="6" t="inlineStr">
        <is>
          <t>Estimate</t>
        </is>
      </c>
      <c r="H7" s="6" t="inlineStr">
        <is>
          <t>{"value": 60, "unit": "min", "constant_ref": "RECOMMENDATION_CADENCE_MIN"}</t>
        </is>
      </c>
    </row>
    <row r="8">
      <c r="A8" s="6" t="inlineStr">
        <is>
          <t>NFR.07</t>
        </is>
      </c>
      <c r="B8" s="6" t="inlineStr">
        <is>
          <t>The system shall cause F.7 to fail-closed on any traceback event whose citation chain is incomplete (any unresolved DE.09 reference).</t>
        </is>
      </c>
      <c r="C8" s="6" t="inlineStr">
        <is>
          <t>compliance</t>
        </is>
      </c>
      <c r="D8" s="6" t="inlineStr">
        <is>
          <t>{"type": "fmea", "ref": "FM.07"}</t>
        </is>
      </c>
      <c r="E8" s="6" t="inlineStr">
        <is>
          <t>test</t>
        </is>
      </c>
      <c r="F8" s="6" t="inlineStr">
        <is>
          <t>FM.07 rpn=9 — fallback to unanchored LLM completion defeats auditability. Fail-closed mitigation.</t>
        </is>
      </c>
      <c r="G8" s="6" t="inlineStr">
        <is>
          <t>Final</t>
        </is>
      </c>
      <c r="H8" s="6" t="n"/>
    </row>
    <row r="9">
      <c r="A9" s="6" t="inlineStr">
        <is>
          <t>NFR.08</t>
        </is>
      </c>
      <c r="B9" s="6" t="inlineStr">
        <is>
          <t>The system shall bind Session Token (DE.12) claims to the project_id scope and enforce that binding at every F.N entry via CC.R01.</t>
        </is>
      </c>
      <c r="C9" s="6" t="inlineStr">
        <is>
          <t>security</t>
        </is>
      </c>
      <c r="D9" s="6" t="inlineStr">
        <is>
          <t>{"type": "fmea", "ref": "FM.08"}</t>
        </is>
      </c>
      <c r="E9" s="6" t="inlineStr">
        <is>
          <t>test</t>
        </is>
      </c>
      <c r="F9" s="6" t="inlineStr">
        <is>
          <t>FM.08 rpn=8 — cross-tenant replay is a severe compliance event. Scope-binding mitigation.</t>
        </is>
      </c>
      <c r="G9" s="6" t="inlineStr">
        <is>
          <t>Final</t>
        </is>
      </c>
      <c r="H9" s="6" t="n"/>
    </row>
    <row r="10">
      <c r="A10" s="6" t="inlineStr">
        <is>
          <t>NFR.09</t>
        </is>
      </c>
      <c r="B10" s="6" t="inlineStr">
        <is>
          <t>The system shall apply a deny-list redaction pass at F.4 exit so the CLI Bundle (DE.06) and Spec Commit (DE.15) never contain raw credential material; DE.07 payloads shall carry credentials_ref handles only.</t>
        </is>
      </c>
      <c r="C10" s="6" t="inlineStr">
        <is>
          <t>security</t>
        </is>
      </c>
      <c r="D10" s="6" t="inlineStr">
        <is>
          <t>{"type": "fmea", "ref": "FM.09"}</t>
        </is>
      </c>
      <c r="E10" s="6" t="inlineStr">
        <is>
          <t>inspection</t>
        </is>
      </c>
      <c r="F10" s="6" t="inlineStr">
        <is>
          <t>FM.09 rpn=8 — secret leakage via IDE consumers. Redaction + handle-only schema mitigations.</t>
        </is>
      </c>
      <c r="G10" s="6" t="inlineStr">
        <is>
          <t>Final</t>
        </is>
      </c>
      <c r="H10" s="6" t="n"/>
    </row>
    <row r="11">
      <c r="A11" s="6" t="inlineStr">
        <is>
          <t>NFR.10</t>
        </is>
      </c>
      <c r="B11" s="6" t="inlineStr">
        <is>
          <t>The system shall enforce a lint rule on ffbd.v1 that every state-mutating function declares CC.R02 in its source_cc, causing the build to fail when a state-mutating F.N is added without an audit wrapping.</t>
        </is>
      </c>
      <c r="C11" s="6" t="inlineStr">
        <is>
          <t>compliance</t>
        </is>
      </c>
      <c r="D11" s="6" t="inlineStr">
        <is>
          <t>{"type": "fmea", "ref": "FM.10"}</t>
        </is>
      </c>
      <c r="E11" s="6" t="inlineStr">
        <is>
          <t>test</t>
        </is>
      </c>
      <c r="F11" s="6" t="inlineStr">
        <is>
          <t>FM.10 rpn=6 — audit-gap risk on schema-lock evolution. EC18 retention promise.</t>
        </is>
      </c>
      <c r="G11" s="6" t="inlineStr">
        <is>
          <t>Final</t>
        </is>
      </c>
      <c r="H11" s="6" t="n"/>
    </row>
    <row r="12">
      <c r="A12" s="6" t="inlineStr">
        <is>
          <t>NFR.11</t>
        </is>
      </c>
      <c r="B12" s="6" t="inlineStr">
        <is>
          <t>The system shall version-tag every spec change that incorporates a Design Recommendation (DE.10) with the triggering recommendation_id in the spec's lineage.</t>
        </is>
      </c>
      <c r="C12" s="6" t="inlineStr">
        <is>
          <t>maintainability</t>
        </is>
      </c>
      <c r="D12" s="6" t="inlineStr">
        <is>
          <t>{"type": "fmea", "ref": "FM.11"}</t>
        </is>
      </c>
      <c r="E12" s="6" t="inlineStr">
        <is>
          <t>inspection</t>
        </is>
      </c>
      <c r="F12" s="6" t="inlineStr">
        <is>
          <t>FM.11 rpn=9 — silent spec mutation under founders erodes trust + auditability. Versioning mitigation.</t>
        </is>
      </c>
      <c r="G12" s="6" t="inlineStr">
        <is>
          <t>Final</t>
        </is>
      </c>
      <c r="H12" s="6" t="n"/>
    </row>
    <row r="13">
      <c r="A13" s="6" t="inlineStr">
        <is>
          <t>NFR.12</t>
        </is>
      </c>
      <c r="B13" s="6" t="inlineStr">
        <is>
          <t>The system shall route LLM Completion (DE.13) requests through a multi-provider adapter with circuit breaker; on single-provider outage the breaker shall fail over within LLM_PROVIDER_TIMEOUT_SEC.</t>
        </is>
      </c>
      <c r="C13" s="6" t="inlineStr">
        <is>
          <t>reliability</t>
        </is>
      </c>
      <c r="D13" s="6" t="inlineStr">
        <is>
          <t>{"type": "fmea", "ref": "FM.12"}</t>
        </is>
      </c>
      <c r="E13" s="6" t="inlineStr">
        <is>
          <t>test</t>
        </is>
      </c>
      <c r="F13" s="6" t="inlineStr">
        <is>
          <t>FM.12 rpn=6 — single-provider dependency causes availability breach during outage windows.</t>
        </is>
      </c>
      <c r="G13" s="6" t="inlineStr">
        <is>
          <t>Estimate</t>
        </is>
      </c>
      <c r="H13" s="6" t="inlineStr">
        <is>
          <t>{"value": 30, "unit": "sec", "constant_ref": "LLM_PROVIDER_TIMEOUT_SEC"}</t>
        </is>
      </c>
    </row>
    <row r="14">
      <c r="A14" s="6" t="inlineStr">
        <is>
          <t>NFR.13</t>
        </is>
      </c>
      <c r="B14" s="6" t="inlineStr">
        <is>
          <t>The system shall encrypt every data flow marked encryption_at_rest_required=true at rest using the class declared in ENCRYPTION_CLASS and in transit using TLS-1.3 for every flow marked encryption_in_transit_required=true.</t>
        </is>
      </c>
      <c r="C14" s="6" t="inlineStr">
        <is>
          <t>security</t>
        </is>
      </c>
      <c r="D14" s="6" t="inlineStr">
        <is>
          <t>{"type": "data_flow", "ref": "DE.02"}</t>
        </is>
      </c>
      <c r="E14" s="6" t="inlineStr">
        <is>
          <t>inspection</t>
        </is>
      </c>
      <c r="F14" s="6" t="inlineStr">
        <is>
          <t>DE.02 (sensitive pii), DE.07 (sensitive pii), and 13 other DEs carry encryption-required flags; consolidates CC.R04 baseline into an NFR with data-flow provenance.</t>
        </is>
      </c>
      <c r="G14" s="6" t="inlineStr">
        <is>
          <t>Final</t>
        </is>
      </c>
      <c r="H14" s="6" t="inlineStr">
        <is>
          <t>{"value": "AES-256-GCM + TLS-1.3", "constant_ref": "ENCRYPTION_CLASS"}</t>
        </is>
      </c>
    </row>
    <row r="15">
      <c r="A15" s="6" t="inlineStr">
        <is>
          <t>NFR.14</t>
        </is>
      </c>
      <c r="B15" s="6" t="inlineStr">
        <is>
          <t>The system shall treat every payload in Session Token (DE.12) as direct PII and apply the direct-PII handling profile (redaction in logs, restricted audit field set).</t>
        </is>
      </c>
      <c r="C15" s="6" t="inlineStr">
        <is>
          <t>security</t>
        </is>
      </c>
      <c r="D15" s="6" t="inlineStr">
        <is>
          <t>{"type": "data_flow", "ref": "DE.12"}</t>
        </is>
      </c>
      <c r="E15" s="6" t="inlineStr">
        <is>
          <t>inspection</t>
        </is>
      </c>
      <c r="F15" s="6" t="inlineStr">
        <is>
          <t>DE.12 pii_class=direct is the only direct-PII flow in scope; warrants its own handling profile distinct from indirect-PII flows.</t>
        </is>
      </c>
      <c r="G15" s="6" t="inlineStr">
        <is>
          <t>Final</t>
        </is>
      </c>
      <c r="H15" s="6" t="n"/>
    </row>
    <row r="16">
      <c r="A16" s="6" t="inlineStr">
        <is>
          <t>NFR.15</t>
        </is>
      </c>
      <c r="B16" s="6" t="inlineStr">
        <is>
          <t>The system shall retain every Audit Event (DE.11) for at least AUDIT_RETENTION_DAYS before archival or deletion.</t>
        </is>
      </c>
      <c r="C16" s="6" t="inlineStr">
        <is>
          <t>compliance</t>
        </is>
      </c>
      <c r="D16" s="6" t="inlineStr">
        <is>
          <t>{"type": "data_flow", "ref": "DE.11"}</t>
        </is>
      </c>
      <c r="E16" s="6" t="inlineStr">
        <is>
          <t>inspection</t>
        </is>
      </c>
      <c r="F16" s="6" t="inlineStr">
        <is>
          <t>DE.11 criticality=critical + regulatory union (SOC2/HIPAA/GDPR/PCI-DSS). 7-year retention satisfies widest framework (HIPAA 6yr rounded).</t>
        </is>
      </c>
      <c r="G16" s="6" t="inlineStr">
        <is>
          <t>Estimate</t>
        </is>
      </c>
      <c r="H16" s="6" t="inlineStr">
        <is>
          <t>{"value": 2555, "unit": "days", "constant_ref": "AUDIT_RETENTION_DAYS"}</t>
        </is>
      </c>
    </row>
    <row r="17">
      <c r="A17" s="6" t="inlineStr">
        <is>
          <t>NFR.16</t>
        </is>
      </c>
      <c r="B17" s="6" t="inlineStr">
        <is>
          <t>The system shall present the first intake question to the Founder within FOUNDER_INTAKE_RESPONSE_BUDGET_MS of receiving DE.01.</t>
        </is>
      </c>
      <c r="C17" s="6" t="inlineStr">
        <is>
          <t>performance</t>
        </is>
      </c>
      <c r="D17" s="6" t="inlineStr">
        <is>
          <t>{"type": "functional_requirement", "ref": "UC01.R04"}</t>
        </is>
      </c>
      <c r="E17" s="6" t="inlineStr">
        <is>
          <t>test</t>
        </is>
      </c>
      <c r="F17" s="6" t="inlineStr">
        <is>
          <t>UC01.R04 carries a numeric latency budget — promoted to NFR with performance class.</t>
        </is>
      </c>
      <c r="G17" s="6" t="inlineStr">
        <is>
          <t>Estimate</t>
        </is>
      </c>
      <c r="H17" s="6" t="inlineStr">
        <is>
          <t>{"value": 2000, "unit": "ms", "constant_ref": "FOUNDER_INTAKE_RESPONSE_BUDGET_MS"}</t>
        </is>
      </c>
    </row>
    <row r="18">
      <c r="A18" s="6" t="inlineStr">
        <is>
          <t>NFR.17</t>
        </is>
      </c>
      <c r="B18" s="6" t="inlineStr">
        <is>
          <t>The system shall complete the spec generation cycle within SPEC_GENERATION_TIMEOUT_SEC from the first Founder answer.</t>
        </is>
      </c>
      <c r="C18" s="6" t="inlineStr">
        <is>
          <t>performance</t>
        </is>
      </c>
      <c r="D18" s="6" t="inlineStr">
        <is>
          <t>{"type": "functional_requirement", "ref": "UC01.R12"}</t>
        </is>
      </c>
      <c r="E18" s="6" t="inlineStr">
        <is>
          <t>test</t>
        </is>
      </c>
      <c r="F18" s="6" t="inlineStr">
        <is>
          <t>UC01.R12 numeric timeout — FR budget implies a performance NFR.</t>
        </is>
      </c>
      <c r="G18" s="6" t="inlineStr">
        <is>
          <t>Estimate</t>
        </is>
      </c>
      <c r="H18" s="6" t="inlineStr">
        <is>
          <t>{"value": 300, "unit": "sec", "constant_ref": "SPEC_GENERATION_TIMEOUT_SEC"}</t>
        </is>
      </c>
    </row>
    <row r="19">
      <c r="A19" s="6" t="inlineStr">
        <is>
          <t>NFR.18</t>
        </is>
      </c>
      <c r="B19" s="6" t="inlineStr">
        <is>
          <t>The system shall render the review queue within REVIEW_QUEUE_LOAD_BUDGET_MS and the loaded spec bundle within SPEC_RENDER_BUDGET_MS.</t>
        </is>
      </c>
      <c r="C19" s="6" t="inlineStr">
        <is>
          <t>performance</t>
        </is>
      </c>
      <c r="D19" s="6" t="inlineStr">
        <is>
          <t>{"type": "functional_requirement", "ref": "UC03.R03"}</t>
        </is>
      </c>
      <c r="E19" s="6" t="inlineStr">
        <is>
          <t>test</t>
        </is>
      </c>
      <c r="F19" s="6" t="inlineStr">
        <is>
          <t>UC03.R03 + UC03.R06 are paired render budgets for the reviewer UI surface.</t>
        </is>
      </c>
      <c r="G19" s="6" t="inlineStr">
        <is>
          <t>Estimate</t>
        </is>
      </c>
      <c r="H19" s="6" t="inlineStr">
        <is>
          <t>{"value": 800, "unit": "ms", "constant_ref": "REVIEW_QUEUE_LOAD_BUDGET_MS"}</t>
        </is>
      </c>
    </row>
    <row r="20">
      <c r="A20" s="6" t="inlineStr">
        <is>
          <t>NFR.19</t>
        </is>
      </c>
      <c r="B20" s="6" t="inlineStr">
        <is>
          <t>The system shall complete state transitions within STATE_TRANSITION_BUDGET_MS.</t>
        </is>
      </c>
      <c r="C20" s="6" t="inlineStr">
        <is>
          <t>performance</t>
        </is>
      </c>
      <c r="D20" s="6" t="inlineStr">
        <is>
          <t>{"type": "functional_requirement", "ref": "UC03.R09"}</t>
        </is>
      </c>
      <c r="E20" s="6" t="inlineStr">
        <is>
          <t>test</t>
        </is>
      </c>
      <c r="F20" s="6" t="inlineStr">
        <is>
          <t>UC03.R09 numeric budget. Single-source empirical (industry p95 sync write) — promotable to Final.</t>
        </is>
      </c>
      <c r="G20" s="6" t="inlineStr">
        <is>
          <t>Final</t>
        </is>
      </c>
      <c r="H20" s="6" t="inlineStr">
        <is>
          <t>{"value": 500, "unit": "ms", "constant_ref": "STATE_TRANSITION_BUDGET_MS"}</t>
        </is>
      </c>
    </row>
    <row r="21">
      <c r="A21" s="6" t="inlineStr">
        <is>
          <t>NFR.20</t>
        </is>
      </c>
      <c r="B21" s="6" t="inlineStr">
        <is>
          <t>The system shall complete CLI bundle generation within CLI_EMISSION_TIMEOUT_SEC.</t>
        </is>
      </c>
      <c r="C21" s="6" t="inlineStr">
        <is>
          <t>performance</t>
        </is>
      </c>
      <c r="D21" s="6" t="inlineStr">
        <is>
          <t>{"type": "functional_requirement", "ref": "UC04.R10"}</t>
        </is>
      </c>
      <c r="E21" s="6" t="inlineStr">
        <is>
          <t>test</t>
        </is>
      </c>
      <c r="F21" s="6" t="inlineStr">
        <is>
          <t>UC04.R10 numeric ceiling — artifact generation SLO.</t>
        </is>
      </c>
      <c r="G21" s="6" t="inlineStr">
        <is>
          <t>Estimate</t>
        </is>
      </c>
      <c r="H21" s="6" t="inlineStr">
        <is>
          <t>{"value": 60, "unit": "sec", "constant_ref": "CLI_EMISSION_TIMEOUT_SEC"}</t>
        </is>
      </c>
    </row>
    <row r="22">
      <c r="A22" s="6" t="inlineStr">
        <is>
          <t>NFR.21</t>
        </is>
      </c>
      <c r="B22" s="6" t="inlineStr">
        <is>
          <t>The system shall deliver the ranked recommendation list within RECOMMENDATION_LATENCY_SEC of cycle start, capped at MAX_RECOMMENDATIONS_PER_CYCLE entries.</t>
        </is>
      </c>
      <c r="C22" s="6" t="inlineStr">
        <is>
          <t>performance</t>
        </is>
      </c>
      <c r="D22" s="6" t="inlineStr">
        <is>
          <t>{"type": "functional_requirement", "ref": "UC06.R09"}</t>
        </is>
      </c>
      <c r="E22" s="6" t="inlineStr">
        <is>
          <t>test</t>
        </is>
      </c>
      <c r="F22" s="6" t="inlineStr">
        <is>
          <t>UC06.R09 + UC06.R10 paired latency+capacity budgets.</t>
        </is>
      </c>
      <c r="G22" s="6" t="inlineStr">
        <is>
          <t>Estimate</t>
        </is>
      </c>
      <c r="H22" s="6" t="inlineStr">
        <is>
          <t>{"value": 120, "unit": "sec", "constant_ref": "RECOMMENDATION_LATENCY_SEC"}</t>
        </is>
      </c>
    </row>
    <row r="23">
      <c r="A23" s="6" t="inlineStr">
        <is>
          <t>NFR.22</t>
        </is>
      </c>
      <c r="B23" s="6" t="inlineStr">
        <is>
          <t>The system shall enforce traceback coverage of at least TRACEBACK_COVERAGE_PCT across all tech-stack recommendations and refuse to emit specs that do not meet that coverage.</t>
        </is>
      </c>
      <c r="C23" s="6" t="inlineStr">
        <is>
          <t>compliance</t>
        </is>
      </c>
      <c r="D23" s="6" t="inlineStr">
        <is>
          <t>{"type": "functional_requirement", "ref": "UC08.R12"}</t>
        </is>
      </c>
      <c r="E23" s="6" t="inlineStr">
        <is>
          <t>test</t>
        </is>
      </c>
      <c r="F23" s="6" t="inlineStr">
        <is>
          <t>M1 hard-constraint — non-negotiable in v1. Status=Final.</t>
        </is>
      </c>
      <c r="G23" s="6" t="inlineStr">
        <is>
          <t>Final</t>
        </is>
      </c>
      <c r="H23" s="6" t="inlineStr">
        <is>
          <t>{"value": 100, "unit": "%", "constant_ref": "TRACEBACK_COVERAGE_PCT"}</t>
        </is>
      </c>
    </row>
    <row r="24">
      <c r="A24" s="6" t="inlineStr">
        <is>
          <t>NFR.23</t>
        </is>
      </c>
      <c r="B24" s="6" t="inlineStr">
        <is>
          <t>The system shall complete per-recommendation traceback within TRACEBACK_LATENCY_SEC.</t>
        </is>
      </c>
      <c r="C24" s="6" t="inlineStr">
        <is>
          <t>performance</t>
        </is>
      </c>
      <c r="D24" s="6" t="inlineStr">
        <is>
          <t>{"type": "functional_requirement", "ref": "UC08.R14"}</t>
        </is>
      </c>
      <c r="E24" s="6" t="inlineStr">
        <is>
          <t>test</t>
        </is>
      </c>
      <c r="F24" s="6" t="inlineStr">
        <is>
          <t>UC08.R14 per-item enrichment SLO.</t>
        </is>
      </c>
      <c r="G24" s="6" t="inlineStr">
        <is>
          <t>Estimate</t>
        </is>
      </c>
      <c r="H24" s="6" t="inlineStr">
        <is>
          <t>{"value": 5, "unit": "sec", "constant_ref": "TRACEBACK_LATENCY_SEC"}</t>
        </is>
      </c>
    </row>
    <row r="25">
      <c r="A25" s="6" t="inlineStr">
        <is>
          <t>NFR.24</t>
        </is>
      </c>
      <c r="B25" s="6" t="inlineStr">
        <is>
          <t>The system shall complete connection establishment within CONNECTION_ESTABLISHMENT_BUDGET_SEC.</t>
        </is>
      </c>
      <c r="C25" s="6" t="inlineStr">
        <is>
          <t>performance</t>
        </is>
      </c>
      <c r="D25" s="6" t="inlineStr">
        <is>
          <t>{"type": "functional_requirement", "ref": "UC11.R14"}</t>
        </is>
      </c>
      <c r="E25" s="6" t="inlineStr">
        <is>
          <t>test</t>
        </is>
      </c>
      <c r="F25" s="6" t="inlineStr">
        <is>
          <t>UC11.R14 onboarding-flow SLO.</t>
        </is>
      </c>
      <c r="G25" s="6" t="inlineStr">
        <is>
          <t>Estimate</t>
        </is>
      </c>
      <c r="H25" s="6" t="inlineStr">
        <is>
          <t>{"value": 120, "unit": "sec", "constant_ref": "CONNECTION_ESTABLISHMENT_BUDGET_SEC"}</t>
        </is>
      </c>
    </row>
    <row r="26">
      <c r="A26" s="6" t="inlineStr">
        <is>
          <t>NFR.25</t>
        </is>
      </c>
      <c r="B26" s="6" t="inlineStr">
        <is>
          <t>The system shall bound external-actor requests to RATE_LIMIT_RPM per authenticated actor per minute.</t>
        </is>
      </c>
      <c r="C26" s="6" t="inlineStr">
        <is>
          <t>security</t>
        </is>
      </c>
      <c r="D26" s="6" t="inlineStr">
        <is>
          <t>{"type": "functional_requirement", "ref": "CC.R06"}</t>
        </is>
      </c>
      <c r="E26" s="6" t="inlineStr">
        <is>
          <t>test</t>
        </is>
      </c>
      <c r="F26" s="6" t="inlineStr">
        <is>
          <t>CC.R06 cross-cutting rate-limit. Single-source production alignment with existing MCP rate limiter.</t>
        </is>
      </c>
      <c r="G26" s="6" t="inlineStr">
        <is>
          <t>Final</t>
        </is>
      </c>
      <c r="H26" s="6" t="inlineStr">
        <is>
          <t>{"value": 100, "unit": "req/min", "constant_ref": "RATE_LIMIT_RPM"}</t>
        </is>
      </c>
    </row>
    <row r="27">
      <c r="A27" s="6" t="inlineStr">
        <is>
          <t>NFR.26</t>
        </is>
      </c>
      <c r="B27" s="6" t="inlineStr">
        <is>
          <t>The system shall emit structured logs at LOG_LEVEL_PROD and traces sampled at TRACE_SAMPLING_RATE for every action.</t>
        </is>
      </c>
      <c r="C27" s="6" t="inlineStr">
        <is>
          <t>maintainability</t>
        </is>
      </c>
      <c r="D27" s="6" t="inlineStr">
        <is>
          <t>{"type": "functional_requirement", "ref": "CC.R09"}</t>
        </is>
      </c>
      <c r="E27" s="6" t="inlineStr">
        <is>
          <t>inspection</t>
        </is>
      </c>
      <c r="F27" s="6" t="inlineStr">
        <is>
          <t>CC.R09 cross-cutting observability. Configurable per-env via LOG_LEVEL_PROD.</t>
        </is>
      </c>
      <c r="G27" s="6" t="inlineStr">
        <is>
          <t>Estimate</t>
        </is>
      </c>
      <c r="H27" s="6" t="inlineStr">
        <is>
          <t>{"value": 0.1, "unit": "ratio", "constant_ref": "TRACE_SAMPLING_RATE"}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5" t="inlineStr">
        <is>
          <t>id</t>
        </is>
      </c>
      <c r="B1" s="5" t="inlineStr">
        <is>
          <t>name</t>
        </is>
      </c>
      <c r="C1" s="5" t="inlineStr">
        <is>
          <t>type</t>
        </is>
      </c>
      <c r="D1" s="5" t="inlineStr">
        <is>
          <t>uncertainty</t>
        </is>
      </c>
      <c r="E1" s="5" t="inlineStr">
        <is>
          <t>delves_to</t>
        </is>
      </c>
      <c r="F1" s="5" t="inlineStr">
        <is>
          <t>inputs</t>
        </is>
      </c>
      <c r="G1" s="5" t="inlineStr">
        <is>
          <t>outputs</t>
        </is>
      </c>
      <c r="H1" s="5" t="inlineStr">
        <is>
          <t>source_cc</t>
        </is>
      </c>
      <c r="I1" s="5" t="inlineStr">
        <is>
          <t>source_uc</t>
        </is>
      </c>
    </row>
    <row r="2">
      <c r="A2" s="6" t="inlineStr">
        <is>
          <t>F.1</t>
        </is>
      </c>
      <c r="B2" s="6" t="inlineStr">
        <is>
          <t>Authenticate &amp; Authorize</t>
        </is>
      </c>
      <c r="C2" s="6" t="inlineStr">
        <is>
          <t>functional</t>
        </is>
      </c>
      <c r="D2" s="6" t="inlineStr">
        <is>
          <t>green</t>
        </is>
      </c>
      <c r="E2" s="6" t="n"/>
      <c r="F2" s="6" t="inlineStr">
        <is>
          <t>[{"kind": "data_flow", "ref": "DE.12", "rationale": "Session token from IDP seeds authn."}]</t>
        </is>
      </c>
      <c r="G2" s="6" t="n"/>
      <c r="H2" s="6" t="inlineStr">
        <is>
          <t>CC.R01, CC.R03</t>
        </is>
      </c>
      <c r="I2" s="6" t="n"/>
    </row>
    <row r="3">
      <c r="A3" s="6" t="inlineStr">
        <is>
          <t>F.2</t>
        </is>
      </c>
      <c r="B3" s="6" t="inlineStr">
        <is>
          <t>Generate Spec</t>
        </is>
      </c>
      <c r="C3" s="6" t="inlineStr">
        <is>
          <t>functional</t>
        </is>
      </c>
      <c r="D3" s="6" t="inlineStr">
        <is>
          <t>yellow</t>
        </is>
      </c>
      <c r="E3" s="6" t="inlineStr">
        <is>
          <t>F.2</t>
        </is>
      </c>
      <c r="F3" s="6" t="inlineStr">
        <is>
          <t>[{"kind": "data_flow", "ref": "DE.01", "rationale": "Founder idea prompt drives spec-from-idea path."}, {"kind": "data_flow", "ref": "DE.02", "rationale": "Repo snapshot drives spec-from-code path."}, {"kind": "data_flow", "ref": "DE.13", "rationale": "LLM completions used for spec drafting."}, {"kind": "data_flow", "ref": "DE.10", "rationale": "Prior recommendation feeds next spec iteration (F.7 → F.2 improvement-informs-next-spec)."}]</t>
        </is>
      </c>
      <c r="G3" s="6" t="inlineStr">
        <is>
          <t>[{"kind": "data_flow", "ref": "DE.03"}]</t>
        </is>
      </c>
      <c r="H3" s="6" t="n"/>
      <c r="I3" s="6" t="inlineStr">
        <is>
          <t>UC01</t>
        </is>
      </c>
    </row>
    <row r="4">
      <c r="A4" s="6" t="inlineStr">
        <is>
          <t>F.3</t>
        </is>
      </c>
      <c r="B4" s="6" t="inlineStr">
        <is>
          <t>Review &amp; Approve Spec</t>
        </is>
      </c>
      <c r="C4" s="6" t="inlineStr">
        <is>
          <t>functional</t>
        </is>
      </c>
      <c r="D4" s="6" t="inlineStr">
        <is>
          <t>green</t>
        </is>
      </c>
      <c r="E4" s="6" t="inlineStr">
        <is>
          <t>F.3</t>
        </is>
      </c>
      <c r="F4" s="6" t="inlineStr">
        <is>
          <t>[{"kind": "data_flow", "ref": "DE.03", "rationale": "Draft spec is the object under review."}, {"kind": "data_flow", "ref": "DE.04", "rationale": "Reviewer decision drives OR.1 branch."}, {"kind": "data_flow", "ref": "DE.14", "rationale": "Compliance policy applied during review gate."}]</t>
        </is>
      </c>
      <c r="G4" s="6" t="inlineStr">
        <is>
          <t>[{"kind": "data_flow", "ref": "DE.05"}]</t>
        </is>
      </c>
      <c r="H4" s="6" t="n"/>
      <c r="I4" s="6" t="inlineStr">
        <is>
          <t>UC03</t>
        </is>
      </c>
    </row>
    <row r="5">
      <c r="A5" s="6" t="inlineStr">
        <is>
          <t>F.4</t>
        </is>
      </c>
      <c r="B5" s="6" t="inlineStr">
        <is>
          <t>Emit CLI Bundle</t>
        </is>
      </c>
      <c r="C5" s="6" t="inlineStr">
        <is>
          <t>functional</t>
        </is>
      </c>
      <c r="D5" s="6" t="inlineStr">
        <is>
          <t>yellow</t>
        </is>
      </c>
      <c r="E5" s="6" t="inlineStr">
        <is>
          <t>F.4</t>
        </is>
      </c>
      <c r="F5" s="6" t="inlineStr">
        <is>
          <t>[{"kind": "data_flow", "ref": "DE.05", "rationale": "Approved spec is the source of the CLI bundle."}, {"kind": "data_flow", "ref": "DE.14", "rationale": "Compliance policy scoped to emit gate."}]</t>
        </is>
      </c>
      <c r="G5" s="6" t="inlineStr">
        <is>
          <t>[{"kind": "data_flow", "ref": "DE.06"}, {"kind": "data_flow", "ref": "DE.15"}]</t>
        </is>
      </c>
      <c r="H5" s="6" t="n"/>
      <c r="I5" s="6" t="inlineStr">
        <is>
          <t>UC04</t>
        </is>
      </c>
    </row>
    <row r="6">
      <c r="A6" s="6" t="inlineStr">
        <is>
          <t>F.5</t>
        </is>
      </c>
      <c r="B6" s="6" t="inlineStr">
        <is>
          <t>Connect Customer System</t>
        </is>
      </c>
      <c r="C6" s="6" t="inlineStr">
        <is>
          <t>functional</t>
        </is>
      </c>
      <c r="D6" s="6" t="inlineStr">
        <is>
          <t>red</t>
        </is>
      </c>
      <c r="E6" s="6" t="inlineStr">
        <is>
          <t>F.5</t>
        </is>
      </c>
      <c r="F6" s="6" t="inlineStr">
        <is>
          <t>[{"kind": "data_flow", "ref": "DE.07", "rationale": "Connection manifest is the input to adapter wiring."}, {"kind": "data_flow", "ref": "DE.02", "rationale": "Repo snapshot may be referenced for non-invasive overhead sizing."}]</t>
        </is>
      </c>
      <c r="G6" s="6" t="n"/>
      <c r="H6" s="6" t="n"/>
      <c r="I6" s="6" t="inlineStr">
        <is>
          <t>UC11</t>
        </is>
      </c>
    </row>
    <row r="7">
      <c r="A7" s="6" t="inlineStr">
        <is>
          <t>F.6</t>
        </is>
      </c>
      <c r="B7" s="6" t="inlineStr">
        <is>
          <t>Ingest Metrics &amp; Recommend</t>
        </is>
      </c>
      <c r="C7" s="6" t="inlineStr">
        <is>
          <t>functional</t>
        </is>
      </c>
      <c r="D7" s="6" t="inlineStr">
        <is>
          <t>red</t>
        </is>
      </c>
      <c r="E7" s="6" t="inlineStr">
        <is>
          <t>F.6</t>
        </is>
      </c>
      <c r="F7" s="6" t="inlineStr">
        <is>
          <t>[{"kind": "data_flow", "ref": "DE.08", "rationale": "Metric stream is the driver of F.6."}]</t>
        </is>
      </c>
      <c r="G7" s="6" t="inlineStr">
        <is>
          <t>[{"kind": "data_flow", "ref": "DE.10"}]</t>
        </is>
      </c>
      <c r="H7" s="6" t="n"/>
      <c r="I7" s="6" t="inlineStr">
        <is>
          <t>UC06</t>
        </is>
      </c>
    </row>
    <row r="8">
      <c r="A8" s="6" t="inlineStr">
        <is>
          <t>F.7</t>
        </is>
      </c>
      <c r="B8" s="6" t="inlineStr">
        <is>
          <t>Trace Recommendations to Metrics</t>
        </is>
      </c>
      <c r="C8" s="6" t="inlineStr">
        <is>
          <t>functional</t>
        </is>
      </c>
      <c r="D8" s="6" t="inlineStr">
        <is>
          <t>yellow</t>
        </is>
      </c>
      <c r="E8" s="6" t="inlineStr">
        <is>
          <t>F.7</t>
        </is>
      </c>
      <c r="F8" s="6" t="inlineStr">
        <is>
          <t>[{"kind": "data_flow", "ref": "DE.09", "rationale": "Tech catalog + vendor docs are the citation source."}, {"kind": "data_flow", "ref": "DE.08", "rationale": "Metric samples are the target of the traceback."}]</t>
        </is>
      </c>
      <c r="G8" s="6" t="inlineStr">
        <is>
          <t>[{"kind": "data_flow", "ref": "DE.10"}]</t>
        </is>
      </c>
      <c r="H8" s="6" t="n"/>
      <c r="I8" s="6" t="inlineStr">
        <is>
          <t>UC08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c r="A1" s="5" t="inlineStr">
        <is>
          <t>from</t>
        </is>
      </c>
      <c r="B1" s="5" t="inlineStr">
        <is>
          <t>to</t>
        </is>
      </c>
      <c r="C1" s="5" t="inlineStr">
        <is>
          <t>kind</t>
        </is>
      </c>
      <c r="D1" s="5" t="inlineStr">
        <is>
          <t>label</t>
        </is>
      </c>
    </row>
    <row r="2">
      <c r="A2" s="6" t="inlineStr">
        <is>
          <t>F.1</t>
        </is>
      </c>
      <c r="B2" s="6" t="inlineStr">
        <is>
          <t>F.2</t>
        </is>
      </c>
      <c r="C2" s="6" t="inlineStr">
        <is>
          <t>trigger</t>
        </is>
      </c>
      <c r="D2" s="6" t="inlineStr">
        <is>
          <t>founder authenticated</t>
        </is>
      </c>
    </row>
    <row r="3">
      <c r="A3" s="6" t="inlineStr">
        <is>
          <t>F.2</t>
        </is>
      </c>
      <c r="B3" s="6" t="inlineStr">
        <is>
          <t>F.3</t>
        </is>
      </c>
      <c r="C3" s="6" t="inlineStr">
        <is>
          <t>trigger</t>
        </is>
      </c>
      <c r="D3" s="6" t="inlineStr">
        <is>
          <t>draft spec ready</t>
        </is>
      </c>
    </row>
    <row r="4">
      <c r="A4" s="6" t="inlineStr">
        <is>
          <t>F.3</t>
        </is>
      </c>
      <c r="B4" s="6" t="inlineStr">
        <is>
          <t>OR.1.open</t>
        </is>
      </c>
      <c r="C4" s="6" t="inlineStr">
        <is>
          <t>trigger</t>
        </is>
      </c>
      <c r="D4" s="6" t="inlineStr">
        <is>
          <t>review complete</t>
        </is>
      </c>
    </row>
    <row r="5">
      <c r="A5" s="6" t="inlineStr">
        <is>
          <t>OR.1.open</t>
        </is>
      </c>
      <c r="B5" s="6" t="inlineStr">
        <is>
          <t>F.4</t>
        </is>
      </c>
      <c r="C5" s="6" t="inlineStr">
        <is>
          <t>trigger</t>
        </is>
      </c>
      <c r="D5" s="6" t="inlineStr">
        <is>
          <t>approved</t>
        </is>
      </c>
    </row>
    <row r="6">
      <c r="A6" s="6" t="inlineStr">
        <is>
          <t>OR.1.open</t>
        </is>
      </c>
      <c r="B6" s="6" t="inlineStr">
        <is>
          <t>F.2</t>
        </is>
      </c>
      <c r="C6" s="6" t="inlineStr">
        <is>
          <t>trigger</t>
        </is>
      </c>
      <c r="D6" s="6" t="inlineStr">
        <is>
          <t>revisions_requested</t>
        </is>
      </c>
    </row>
    <row r="7">
      <c r="A7" s="6" t="inlineStr">
        <is>
          <t>F.4</t>
        </is>
      </c>
      <c r="B7" s="6" t="inlineStr">
        <is>
          <t>F.5</t>
        </is>
      </c>
      <c r="C7" s="6" t="inlineStr">
        <is>
          <t>precedes</t>
        </is>
      </c>
      <c r="D7" s="6" t="inlineStr">
        <is>
          <t>on engineer schedule</t>
        </is>
      </c>
    </row>
    <row r="8">
      <c r="A8" s="6" t="inlineStr">
        <is>
          <t>F.5</t>
        </is>
      </c>
      <c r="B8" s="6" t="inlineStr">
        <is>
          <t>AND.1.open</t>
        </is>
      </c>
      <c r="C8" s="6" t="inlineStr">
        <is>
          <t>trigger</t>
        </is>
      </c>
      <c r="D8" s="6" t="n"/>
    </row>
    <row r="9">
      <c r="A9" s="6" t="inlineStr">
        <is>
          <t>AND.1.open</t>
        </is>
      </c>
      <c r="B9" s="6" t="inlineStr">
        <is>
          <t>F.6</t>
        </is>
      </c>
      <c r="C9" s="6" t="inlineStr">
        <is>
          <t>trigger</t>
        </is>
      </c>
      <c r="D9" s="6" t="inlineStr">
        <is>
          <t>metrics available</t>
        </is>
      </c>
    </row>
    <row r="10">
      <c r="A10" s="6" t="inlineStr">
        <is>
          <t>AND.1.open</t>
        </is>
      </c>
      <c r="B10" s="6" t="inlineStr">
        <is>
          <t>F.7</t>
        </is>
      </c>
      <c r="C10" s="6" t="inlineStr">
        <is>
          <t>trigger</t>
        </is>
      </c>
      <c r="D10" s="6" t="inlineStr">
        <is>
          <t>docs &amp; catalogs available</t>
        </is>
      </c>
    </row>
    <row r="11">
      <c r="A11" s="6" t="inlineStr">
        <is>
          <t>F.6</t>
        </is>
      </c>
      <c r="B11" s="6" t="inlineStr">
        <is>
          <t>F.7</t>
        </is>
      </c>
      <c r="C11" s="6" t="inlineStr">
        <is>
          <t>trigger</t>
        </is>
      </c>
      <c r="D11" s="6" t="inlineStr">
        <is>
          <t>&lt;=RECOMMENDATION_CADENCE_MIN</t>
        </is>
      </c>
    </row>
    <row r="12">
      <c r="A12" s="6" t="inlineStr">
        <is>
          <t>F.7</t>
        </is>
      </c>
      <c r="B12" s="6" t="inlineStr">
        <is>
          <t>IT.1.close</t>
        </is>
      </c>
      <c r="C12" s="6" t="inlineStr">
        <is>
          <t>trigger</t>
        </is>
      </c>
      <c r="D12" s="6" t="inlineStr">
        <is>
          <t>recommendation traced</t>
        </is>
      </c>
    </row>
    <row r="13">
      <c r="A13" s="6" t="inlineStr">
        <is>
          <t>IT.1.close</t>
        </is>
      </c>
      <c r="B13" s="6" t="inlineStr">
        <is>
          <t>IT.1.open</t>
        </is>
      </c>
      <c r="C13" s="6" t="inlineStr">
        <is>
          <t>precedes</t>
        </is>
      </c>
      <c r="D13" s="6" t="inlineStr">
        <is>
          <t>Until project deactivates</t>
        </is>
      </c>
    </row>
    <row r="14">
      <c r="A14" s="6" t="inlineStr">
        <is>
          <t>IT.1.open</t>
        </is>
      </c>
      <c r="B14" s="6" t="inlineStr">
        <is>
          <t>F.6</t>
        </is>
      </c>
      <c r="C14" s="6" t="inlineStr">
        <is>
          <t>trigger</t>
        </is>
      </c>
      <c r="D14" s="6" t="n"/>
    </row>
    <row r="15">
      <c r="A15" s="6" t="inlineStr">
        <is>
          <t>F.7</t>
        </is>
      </c>
      <c r="B15" s="6" t="inlineStr">
        <is>
          <t>F.2</t>
        </is>
      </c>
      <c r="C15" s="6" t="inlineStr">
        <is>
          <t>precedes</t>
        </is>
      </c>
      <c r="D15" s="6" t="inlineStr">
        <is>
          <t>improvement informs next spec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5" t="inlineStr">
        <is>
          <t>id</t>
        </is>
      </c>
      <c r="B1" s="5" t="inlineStr">
        <is>
          <t>kind</t>
        </is>
      </c>
      <c r="C1" s="5" t="inlineStr">
        <is>
          <t>open_pos</t>
        </is>
      </c>
      <c r="D1" s="5" t="inlineStr">
        <is>
          <t>close_pos</t>
        </is>
      </c>
      <c r="E1" s="5" t="inlineStr">
        <is>
          <t>guard</t>
        </is>
      </c>
      <c r="F1" s="5" t="inlineStr">
        <is>
          <t>purpose</t>
        </is>
      </c>
      <c r="G1" s="5" t="inlineStr">
        <is>
          <t>termination</t>
        </is>
      </c>
    </row>
    <row r="2">
      <c r="A2" s="6" t="inlineStr">
        <is>
          <t>OR.1</t>
        </is>
      </c>
      <c r="B2" s="6" t="inlineStr">
        <is>
          <t>OR</t>
        </is>
      </c>
      <c r="C2" s="6" t="inlineStr">
        <is>
          <t>after F.3</t>
        </is>
      </c>
      <c r="D2" s="6" t="inlineStr">
        <is>
          <t>before F.2 / F.4 rejoin</t>
        </is>
      </c>
      <c r="E2" s="6" t="inlineStr">
        <is>
          <t>review_decision == approved ? F.4 : F.2</t>
        </is>
      </c>
      <c r="F2" s="6" t="inlineStr">
        <is>
          <t>Branch on reviewer decision: approve → emit, revise → re-generate.</t>
        </is>
      </c>
      <c r="G2" s="6" t="n"/>
    </row>
    <row r="3">
      <c r="A3" s="6" t="inlineStr">
        <is>
          <t>AND.1</t>
        </is>
      </c>
      <c r="B3" s="6" t="inlineStr">
        <is>
          <t>AND</t>
        </is>
      </c>
      <c r="C3" s="6" t="inlineStr">
        <is>
          <t>after F.5</t>
        </is>
      </c>
      <c r="D3" s="6" t="inlineStr">
        <is>
          <t>before IT.1</t>
        </is>
      </c>
      <c r="E3" s="6" t="inlineStr">
        <is>
          <t>metrics_available AND docs_available</t>
        </is>
      </c>
      <c r="F3" s="6" t="inlineStr">
        <is>
          <t>Parallel activation: both metric ingest and traceback sources must be live before feedback loop can recommend.</t>
        </is>
      </c>
      <c r="G3" s="6" t="n"/>
    </row>
    <row r="4">
      <c r="A4" s="6" t="inlineStr">
        <is>
          <t>IT.1</t>
        </is>
      </c>
      <c r="B4" s="6" t="inlineStr">
        <is>
          <t>IT</t>
        </is>
      </c>
      <c r="C4" s="6" t="inlineStr">
        <is>
          <t>before F.6</t>
        </is>
      </c>
      <c r="D4" s="6" t="inlineStr">
        <is>
          <t>after F.7</t>
        </is>
      </c>
      <c r="E4" s="6" t="n"/>
      <c r="F4" s="6" t="inlineStr">
        <is>
          <t>Live feedback loop runs indefinitely while project is active; terminates on deactivate.</t>
        </is>
      </c>
      <c r="G4" s="6" t="inlineStr">
        <is>
          <t>project.status != active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s>
  <sheetData>
    <row r="1">
      <c r="A1" s="5" t="inlineStr">
        <is>
          <t>name</t>
        </is>
      </c>
      <c r="B1" s="5" t="inlineStr">
        <is>
          <t>feeds</t>
        </is>
      </c>
      <c r="C1" s="5" t="inlineStr">
        <is>
          <t>source_actor</t>
        </is>
      </c>
      <c r="D1" s="5" t="inlineStr">
        <is>
          <t>data_flow_refs</t>
        </is>
      </c>
    </row>
    <row r="2">
      <c r="A2" s="6" t="inlineStr">
        <is>
          <t>Founder Idea Prompt</t>
        </is>
      </c>
      <c r="B2" s="6" t="inlineStr">
        <is>
          <t>F.2</t>
        </is>
      </c>
      <c r="C2" s="6" t="inlineStr">
        <is>
          <t>FOUNDERS</t>
        </is>
      </c>
      <c r="D2" s="6" t="inlineStr">
        <is>
          <t>DE.01</t>
        </is>
      </c>
    </row>
    <row r="3">
      <c r="A3" s="6" t="inlineStr">
        <is>
          <t>Existing Codebase (read-only)</t>
        </is>
      </c>
      <c r="B3" s="6" t="inlineStr">
        <is>
          <t>F.2, F.5</t>
        </is>
      </c>
      <c r="C3" s="6" t="inlineStr">
        <is>
          <t>EXISTING CODEBASES</t>
        </is>
      </c>
      <c r="D3" s="6" t="inlineStr">
        <is>
          <t>DE.02</t>
        </is>
      </c>
    </row>
    <row r="4">
      <c r="A4" s="6" t="inlineStr">
        <is>
          <t>Compliance Policy</t>
        </is>
      </c>
      <c r="B4" s="6" t="inlineStr">
        <is>
          <t>F.3, F.4</t>
        </is>
      </c>
      <c r="C4" s="6" t="inlineStr">
        <is>
          <t>COMPLIANCE FRAMEWORKS</t>
        </is>
      </c>
      <c r="D4" s="6" t="inlineStr">
        <is>
          <t>DE.14</t>
        </is>
      </c>
    </row>
    <row r="5">
      <c r="A5" s="6" t="inlineStr">
        <is>
          <t>Live Performance Metrics</t>
        </is>
      </c>
      <c r="B5" s="6" t="inlineStr">
        <is>
          <t>F.6</t>
        </is>
      </c>
      <c r="C5" s="6" t="inlineStr">
        <is>
          <t>OBSERVABILITY TOOLS</t>
        </is>
      </c>
      <c r="D5" s="6" t="inlineStr">
        <is>
          <t>DE.08</t>
        </is>
      </c>
    </row>
    <row r="6">
      <c r="A6" s="6" t="inlineStr">
        <is>
          <t>Documentation Sources + Cloud SLAs</t>
        </is>
      </c>
      <c r="B6" s="6" t="inlineStr">
        <is>
          <t>F.7</t>
        </is>
      </c>
      <c r="C6" s="6" t="inlineStr">
        <is>
          <t>DOCUMENTATION SOURCES</t>
        </is>
      </c>
      <c r="D6" s="6" t="inlineStr">
        <is>
          <t>DE.09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s>
  <sheetData>
    <row r="1">
      <c r="A1" s="5" t="inlineStr">
        <is>
          <t>id</t>
        </is>
      </c>
      <c r="B1" s="5" t="inlineStr">
        <is>
          <t>name</t>
        </is>
      </c>
      <c r="C1" s="5" t="inlineStr">
        <is>
          <t>applies_to</t>
        </is>
      </c>
    </row>
    <row r="2">
      <c r="A2" s="6" t="inlineStr">
        <is>
          <t>CC.R01</t>
        </is>
      </c>
      <c r="B2" s="6" t="inlineStr">
        <is>
          <t>authenticate_session</t>
        </is>
      </c>
      <c r="C2" s="6" t="inlineStr">
        <is>
          <t>implicit on entry to F.1, F.3, F.4, F.5</t>
        </is>
      </c>
    </row>
    <row r="3">
      <c r="A3" s="6" t="inlineStr">
        <is>
          <t>CC.R02</t>
        </is>
      </c>
      <c r="B3" s="6" t="inlineStr">
        <is>
          <t>write_audit_entry</t>
        </is>
      </c>
      <c r="C3" s="6" t="inlineStr">
        <is>
          <t>every F.N that mutates state (F.2, F.3, F.4, F.5, F.6)</t>
        </is>
      </c>
    </row>
    <row r="4">
      <c r="A4" s="6" t="inlineStr">
        <is>
          <t>CC.R09</t>
        </is>
      </c>
      <c r="B4" s="6" t="inlineStr">
        <is>
          <t>emit_observability_signals</t>
        </is>
      </c>
      <c r="C4" s="6" t="inlineStr">
        <is>
          <t>every F.N unconditionally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80" customWidth="1" min="2" max="2"/>
  </cols>
  <sheetData>
    <row r="1">
      <c r="A1" s="7" t="inlineStr">
        <is>
          <t>M4 — Decision Network</t>
        </is>
      </c>
    </row>
    <row r="2"/>
    <row r="3">
      <c r="A3" t="inlineStr">
        <is>
          <t>Selected architecture</t>
        </is>
      </c>
      <c r="B3" t="inlineStr">
        <is>
          <t>AV.01</t>
        </is>
      </c>
    </row>
    <row r="4">
      <c r="A4" t="inlineStr">
        <is>
          <t>Phases</t>
        </is>
      </c>
      <c r="B4" t="inlineStr">
        <is>
          <t>phase_14_decision_nodes, phase_15_decision_dependencies, phase_16_pareto_frontier, phase_17b_sensitivity, phase_19_empirical_prior_binding, phases_11_13_vector_scores</t>
        </is>
      </c>
    </row>
    <row r="5">
      <c r="A5" t="inlineStr">
        <is>
          <t>System</t>
        </is>
      </c>
      <c r="B5" t="inlineStr">
        <is>
          <t>c1v</t>
        </is>
      </c>
    </row>
    <row r="6">
      <c r="A6" t="inlineStr">
        <is>
          <t>Decision-audit entries</t>
        </is>
      </c>
      <c r="B6" t="n">
        <v>48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5" t="inlineStr">
        <is>
          <t>phase</t>
        </is>
      </c>
      <c r="B1" s="5" t="inlineStr">
        <is>
          <t>id</t>
        </is>
      </c>
      <c r="C1" s="5" t="inlineStr">
        <is>
          <t>title</t>
        </is>
      </c>
      <c r="D1" s="5" t="inlineStr">
        <is>
          <t>question</t>
        </is>
      </c>
      <c r="E1" s="5" t="inlineStr">
        <is>
          <t>alternative_count</t>
        </is>
      </c>
      <c r="F1" s="5" t="inlineStr">
        <is>
          <t>criteria_count</t>
        </is>
      </c>
    </row>
    <row r="2">
      <c r="A2" s="6" t="inlineStr">
        <is>
          <t>phase_14_decision_nodes</t>
        </is>
      </c>
      <c r="B2" s="6" t="inlineStr">
        <is>
          <t>DN.01</t>
        </is>
      </c>
      <c r="C2" s="6" t="inlineStr">
        <is>
          <t>Choose LLM provider for F.2 spec generation</t>
        </is>
      </c>
      <c r="D2" s="6" t="inlineStr">
        <is>
          <t>Which LLM API maximizes citation accuracy + p95 latency within cost ceiling?</t>
        </is>
      </c>
      <c r="E2" s="6" t="n">
        <v>3</v>
      </c>
      <c r="F2" s="6" t="n">
        <v>4</v>
      </c>
    </row>
    <row r="3">
      <c r="A3" s="6" t="inlineStr">
        <is>
          <t>phase_14_decision_nodes</t>
        </is>
      </c>
      <c r="B3" s="6" t="inlineStr">
        <is>
          <t>DN.02</t>
        </is>
      </c>
      <c r="C3" s="6" t="inlineStr">
        <is>
          <t>Choose vector store for RAG (F.6 recommendation)</t>
        </is>
      </c>
      <c r="D3" s="6" t="inlineStr">
        <is>
          <t>Which vector store balances query p95 latency, cost, and operational simplicity?</t>
        </is>
      </c>
      <c r="E3" s="6" t="n">
        <v>3</v>
      </c>
      <c r="F3" s="6" t="n">
        <v>4</v>
      </c>
    </row>
    <row r="4">
      <c r="A4" s="6" t="inlineStr">
        <is>
          <t>phase_14_decision_nodes</t>
        </is>
      </c>
      <c r="B4" s="6" t="inlineStr">
        <is>
          <t>DN.03</t>
        </is>
      </c>
      <c r="C4" s="6" t="inlineStr">
        <is>
          <t>Choose orchestration runtime for F.2..F.7 chain</t>
        </is>
      </c>
      <c r="D4" s="6" t="inlineStr">
        <is>
          <t>Which agent-orchestration framework minimizes integration cost + supports stateful workflows?</t>
        </is>
      </c>
      <c r="E4" s="6" t="n">
        <v>3</v>
      </c>
      <c r="F4" s="6" t="n">
        <v>4</v>
      </c>
    </row>
    <row r="5">
      <c r="A5" s="6" t="inlineStr">
        <is>
          <t>phase_14_decision_nodes</t>
        </is>
      </c>
      <c r="B5" s="6" t="inlineStr">
        <is>
          <t>DN.04</t>
        </is>
      </c>
      <c r="C5" s="6" t="inlineStr">
        <is>
          <t>Choose deployment target for Next.js app tier</t>
        </is>
      </c>
      <c r="D5" s="6" t="inlineStr">
        <is>
          <t>Which hosting platform meets NFR-04 customer-overhead cap and availability targets?</t>
        </is>
      </c>
      <c r="E5" s="6" t="n">
        <v>3</v>
      </c>
      <c r="F5" s="6"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18" customWidth="1" min="4" max="4"/>
    <col width="18" customWidth="1" min="5" max="5"/>
    <col width="18" customWidth="1" min="6" max="6"/>
    <col width="18" customWidth="1" min="7" max="7"/>
    <col width="18" customWidth="1" min="8" max="8"/>
    <col width="18" customWidth="1" min="9" max="9"/>
  </cols>
  <sheetData>
    <row r="1">
      <c r="A1" s="5" t="inlineStr">
        <is>
          <t>decision_id</t>
        </is>
      </c>
      <c r="B1" s="5" t="inlineStr">
        <is>
          <t>alternative_id</t>
        </is>
      </c>
      <c r="C1" s="5" t="inlineStr">
        <is>
          <t>alternative_name</t>
        </is>
      </c>
      <c r="D1" s="5" t="inlineStr">
        <is>
          <t>criterion_id</t>
        </is>
      </c>
      <c r="E1" s="5" t="inlineStr">
        <is>
          <t>raw_value</t>
        </is>
      </c>
      <c r="F1" s="5" t="inlineStr">
        <is>
          <t>normalized_value</t>
        </is>
      </c>
      <c r="G1" s="5" t="inlineStr">
        <is>
          <t>kb_source</t>
        </is>
      </c>
      <c r="H1" s="5" t="inlineStr">
        <is>
          <t>decision_title</t>
        </is>
      </c>
      <c r="I1" s="5" t="inlineStr">
        <is>
          <t>sample_size</t>
        </is>
      </c>
    </row>
    <row r="2">
      <c r="A2" s="6" t="inlineStr">
        <is>
          <t>DN.01</t>
        </is>
      </c>
      <c r="B2" s="6" t="inlineStr">
        <is>
          <t>A</t>
        </is>
      </c>
      <c r="C2" s="6" t="inlineStr">
        <is>
          <t>Anthropic Claude Sonnet 4.5</t>
        </is>
      </c>
      <c r="D2" s="6" t="inlineStr">
        <is>
          <t>PC-01</t>
        </is>
      </c>
      <c r="E2" s="6" t="n">
        <v>0.92</v>
      </c>
      <c r="F2" s="6" t="n">
        <v>0.92</v>
      </c>
      <c r="G2" s="6" t="inlineStr">
        <is>
          <t>anthropic-claude-2026.md</t>
        </is>
      </c>
      <c r="H2" s="6" t="inlineStr">
        <is>
          <t>Choose LLM provider for F.2 spec generation</t>
        </is>
      </c>
      <c r="I2" s="6" t="n">
        <v>12</v>
      </c>
    </row>
    <row r="3">
      <c r="A3" s="6" t="inlineStr">
        <is>
          <t>DN.01</t>
        </is>
      </c>
      <c r="B3" s="6" t="inlineStr">
        <is>
          <t>B</t>
        </is>
      </c>
      <c r="C3" s="6" t="inlineStr">
        <is>
          <t>OpenAI GPT-4 Turbo</t>
        </is>
      </c>
      <c r="D3" s="6" t="inlineStr">
        <is>
          <t>PC-01</t>
        </is>
      </c>
      <c r="E3" s="6" t="n">
        <v>0.88</v>
      </c>
      <c r="F3" s="6" t="n">
        <v>0.88</v>
      </c>
      <c r="G3" s="6" t="inlineStr">
        <is>
          <t>openai-gpt4-2026.md</t>
        </is>
      </c>
      <c r="H3" s="6" t="inlineStr">
        <is>
          <t>Choose LLM provider for F.2 spec generation</t>
        </is>
      </c>
      <c r="I3" s="6" t="n">
        <v>14</v>
      </c>
    </row>
    <row r="4">
      <c r="A4" s="6" t="inlineStr">
        <is>
          <t>DN.01</t>
        </is>
      </c>
      <c r="B4" s="6" t="inlineStr">
        <is>
          <t>C</t>
        </is>
      </c>
      <c r="C4" s="6" t="inlineStr">
        <is>
          <t>OpenRouter federated</t>
        </is>
      </c>
      <c r="D4" s="6" t="inlineStr">
        <is>
          <t>PC-01</t>
        </is>
      </c>
      <c r="E4" s="6" t="n">
        <v>0.83</v>
      </c>
      <c r="F4" s="6" t="n">
        <v>0.83</v>
      </c>
      <c r="G4" s="6" t="inlineStr">
        <is>
          <t>openrouter-routed-mean</t>
        </is>
      </c>
      <c r="H4" s="6" t="inlineStr">
        <is>
          <t>Choose LLM provider for F.2 spec generation</t>
        </is>
      </c>
      <c r="I4" s="6" t="n"/>
    </row>
    <row r="5">
      <c r="A5" s="6" t="inlineStr">
        <is>
          <t>DN.01</t>
        </is>
      </c>
      <c r="B5" s="6" t="inlineStr">
        <is>
          <t>A</t>
        </is>
      </c>
      <c r="C5" s="6" t="inlineStr">
        <is>
          <t>Anthropic Claude Sonnet 4.5</t>
        </is>
      </c>
      <c r="D5" s="6" t="inlineStr">
        <is>
          <t>PC-02</t>
        </is>
      </c>
      <c r="E5" s="6" t="n">
        <v>1800</v>
      </c>
      <c r="F5" s="6" t="n">
        <v>0.7</v>
      </c>
      <c r="G5" s="6" t="inlineStr">
        <is>
          <t>NFR.04</t>
        </is>
      </c>
      <c r="H5" s="6" t="inlineStr">
        <is>
          <t>Choose LLM provider for F.2 spec generation</t>
        </is>
      </c>
      <c r="I5" s="6" t="n"/>
    </row>
    <row r="6">
      <c r="A6" s="6" t="inlineStr">
        <is>
          <t>DN.01</t>
        </is>
      </c>
      <c r="B6" s="6" t="inlineStr">
        <is>
          <t>B</t>
        </is>
      </c>
      <c r="C6" s="6" t="inlineStr">
        <is>
          <t>OpenAI GPT-4 Turbo</t>
        </is>
      </c>
      <c r="D6" s="6" t="inlineStr">
        <is>
          <t>PC-02</t>
        </is>
      </c>
      <c r="E6" s="6" t="n">
        <v>2100</v>
      </c>
      <c r="F6" s="6" t="n">
        <v>0.6</v>
      </c>
      <c r="G6" s="6" t="inlineStr">
        <is>
          <t>openai-gpt4-2026.md</t>
        </is>
      </c>
      <c r="H6" s="6" t="inlineStr">
        <is>
          <t>Choose LLM provider for F.2 spec generation</t>
        </is>
      </c>
      <c r="I6" s="6" t="n">
        <v>14</v>
      </c>
    </row>
    <row r="7">
      <c r="A7" s="6" t="inlineStr">
        <is>
          <t>DN.01</t>
        </is>
      </c>
      <c r="B7" s="6" t="inlineStr">
        <is>
          <t>C</t>
        </is>
      </c>
      <c r="C7" s="6" t="inlineStr">
        <is>
          <t>OpenRouter federated</t>
        </is>
      </c>
      <c r="D7" s="6" t="inlineStr">
        <is>
          <t>PC-02</t>
        </is>
      </c>
      <c r="E7" s="6" t="n">
        <v>2400</v>
      </c>
      <c r="F7" s="6" t="n">
        <v>0.5</v>
      </c>
      <c r="G7" s="6" t="inlineStr">
        <is>
          <t>openrouter-routing-overhead</t>
        </is>
      </c>
      <c r="H7" s="6" t="inlineStr">
        <is>
          <t>Choose LLM provider for F.2 spec generation</t>
        </is>
      </c>
      <c r="I7" s="6" t="n"/>
    </row>
    <row r="8">
      <c r="A8" s="6" t="inlineStr">
        <is>
          <t>DN.01</t>
        </is>
      </c>
      <c r="B8" s="6" t="inlineStr">
        <is>
          <t>A</t>
        </is>
      </c>
      <c r="C8" s="6" t="inlineStr">
        <is>
          <t>Anthropic Claude Sonnet 4.5</t>
        </is>
      </c>
      <c r="D8" s="6" t="inlineStr">
        <is>
          <t>PC-03</t>
        </is>
      </c>
      <c r="E8" s="6" t="n">
        <v>15</v>
      </c>
      <c r="F8" s="6" t="n">
        <v>0.7</v>
      </c>
      <c r="G8" s="6" t="inlineStr">
        <is>
          <t>anthropic-claude-2026.md</t>
        </is>
      </c>
      <c r="H8" s="6" t="inlineStr">
        <is>
          <t>Choose LLM provider for F.2 spec generation</t>
        </is>
      </c>
      <c r="I8" s="6" t="n">
        <v>12</v>
      </c>
    </row>
    <row r="9">
      <c r="A9" s="6" t="inlineStr">
        <is>
          <t>DN.01</t>
        </is>
      </c>
      <c r="B9" s="6" t="inlineStr">
        <is>
          <t>B</t>
        </is>
      </c>
      <c r="C9" s="6" t="inlineStr">
        <is>
          <t>OpenAI GPT-4 Turbo</t>
        </is>
      </c>
      <c r="D9" s="6" t="inlineStr">
        <is>
          <t>PC-03</t>
        </is>
      </c>
      <c r="E9" s="6" t="n">
        <v>10</v>
      </c>
      <c r="F9" s="6" t="n">
        <v>0.8</v>
      </c>
      <c r="G9" s="6" t="inlineStr">
        <is>
          <t>openai-gpt4-2026.md</t>
        </is>
      </c>
      <c r="H9" s="6" t="inlineStr">
        <is>
          <t>Choose LLM provider for F.2 spec generation</t>
        </is>
      </c>
      <c r="I9" s="6" t="n">
        <v>14</v>
      </c>
    </row>
    <row r="10">
      <c r="A10" s="6" t="inlineStr">
        <is>
          <t>DN.01</t>
        </is>
      </c>
      <c r="B10" s="6" t="inlineStr">
        <is>
          <t>C</t>
        </is>
      </c>
      <c r="C10" s="6" t="inlineStr">
        <is>
          <t>OpenRouter federated</t>
        </is>
      </c>
      <c r="D10" s="6" t="inlineStr">
        <is>
          <t>PC-03</t>
        </is>
      </c>
      <c r="E10" s="6" t="n">
        <v>12</v>
      </c>
      <c r="F10" s="6" t="n">
        <v>0.76</v>
      </c>
      <c r="G10" s="6" t="inlineStr">
        <is>
          <t>openrouter-mean-cost</t>
        </is>
      </c>
      <c r="H10" s="6" t="inlineStr">
        <is>
          <t>Choose LLM provider for F.2 spec generation</t>
        </is>
      </c>
      <c r="I10" s="6" t="n"/>
    </row>
    <row r="11">
      <c r="A11" s="6" t="inlineStr">
        <is>
          <t>DN.01</t>
        </is>
      </c>
      <c r="B11" s="6" t="inlineStr">
        <is>
          <t>A</t>
        </is>
      </c>
      <c r="C11" s="6" t="inlineStr">
        <is>
          <t>Anthropic Claude Sonnet 4.5</t>
        </is>
      </c>
      <c r="D11" s="6" t="inlineStr">
        <is>
          <t>PC-04</t>
        </is>
      </c>
      <c r="E11" s="6" t="n">
        <v>99.90000000000001</v>
      </c>
      <c r="F11" s="6" t="n">
        <v>0.9</v>
      </c>
      <c r="G11" s="6" t="inlineStr">
        <is>
          <t>anthropic-claude-2026.md</t>
        </is>
      </c>
      <c r="H11" s="6" t="inlineStr">
        <is>
          <t>Choose LLM provider for F.2 spec generation</t>
        </is>
      </c>
      <c r="I11" s="6" t="n">
        <v>12</v>
      </c>
    </row>
    <row r="12">
      <c r="A12" s="6" t="inlineStr">
        <is>
          <t>DN.01</t>
        </is>
      </c>
      <c r="B12" s="6" t="inlineStr">
        <is>
          <t>B</t>
        </is>
      </c>
      <c r="C12" s="6" t="inlineStr">
        <is>
          <t>OpenAI GPT-4 Turbo</t>
        </is>
      </c>
      <c r="D12" s="6" t="inlineStr">
        <is>
          <t>PC-04</t>
        </is>
      </c>
      <c r="E12" s="6" t="n">
        <v>99.95</v>
      </c>
      <c r="F12" s="6" t="n">
        <v>0.95</v>
      </c>
      <c r="G12" s="6" t="inlineStr">
        <is>
          <t>openai-gpt4-2026.md</t>
        </is>
      </c>
      <c r="H12" s="6" t="inlineStr">
        <is>
          <t>Choose LLM provider for F.2 spec generation</t>
        </is>
      </c>
      <c r="I12" s="6" t="n">
        <v>14</v>
      </c>
    </row>
    <row r="13">
      <c r="A13" s="6" t="inlineStr">
        <is>
          <t>DN.01</t>
        </is>
      </c>
      <c r="B13" s="6" t="inlineStr">
        <is>
          <t>C</t>
        </is>
      </c>
      <c r="C13" s="6" t="inlineStr">
        <is>
          <t>OpenRouter federated</t>
        </is>
      </c>
      <c r="D13" s="6" t="inlineStr">
        <is>
          <t>PC-04</t>
        </is>
      </c>
      <c r="E13" s="6" t="n">
        <v>99.84999999999999</v>
      </c>
      <c r="F13" s="6" t="n">
        <v>0.85</v>
      </c>
      <c r="G13" s="6" t="inlineStr">
        <is>
          <t>openrouter-compound-availability</t>
        </is>
      </c>
      <c r="H13" s="6" t="inlineStr">
        <is>
          <t>Choose LLM provider for F.2 spec generation</t>
        </is>
      </c>
      <c r="I13" s="6" t="n"/>
    </row>
    <row r="14">
      <c r="A14" s="6" t="inlineStr">
        <is>
          <t>DN.02</t>
        </is>
      </c>
      <c r="B14" s="6" t="inlineStr">
        <is>
          <t>A</t>
        </is>
      </c>
      <c r="C14" s="6" t="inlineStr">
        <is>
          <t>pgvector (Supabase Postgres)</t>
        </is>
      </c>
      <c r="D14" s="6" t="inlineStr">
        <is>
          <t>PC-01</t>
        </is>
      </c>
      <c r="E14" s="6" t="n">
        <v>0.85</v>
      </c>
      <c r="F14" s="6" t="n">
        <v>0.85</v>
      </c>
      <c r="G14" s="6" t="inlineStr">
        <is>
          <t>data-model-kb.md</t>
        </is>
      </c>
      <c r="H14" s="6" t="inlineStr">
        <is>
          <t>Choose vector store for RAG (F.6 recommendation)</t>
        </is>
      </c>
      <c r="I14" s="6" t="n"/>
    </row>
    <row r="15">
      <c r="A15" s="6" t="inlineStr">
        <is>
          <t>DN.02</t>
        </is>
      </c>
      <c r="B15" s="6" t="inlineStr">
        <is>
          <t>B</t>
        </is>
      </c>
      <c r="C15" s="6" t="inlineStr">
        <is>
          <t>Pinecone managed</t>
        </is>
      </c>
      <c r="D15" s="6" t="inlineStr">
        <is>
          <t>PC-01</t>
        </is>
      </c>
      <c r="E15" s="6" t="n">
        <v>0.93</v>
      </c>
      <c r="F15" s="6" t="n">
        <v>0.93</v>
      </c>
      <c r="G15" s="6" t="inlineStr">
        <is>
          <t>pinecone-2026.md</t>
        </is>
      </c>
      <c r="H15" s="6" t="inlineStr">
        <is>
          <t>Choose vector store for RAG (F.6 recommendation)</t>
        </is>
      </c>
      <c r="I15" s="6" t="n">
        <v>10</v>
      </c>
    </row>
    <row r="16">
      <c r="A16" s="6" t="inlineStr">
        <is>
          <t>DN.02</t>
        </is>
      </c>
      <c r="B16" s="6" t="inlineStr">
        <is>
          <t>C</t>
        </is>
      </c>
      <c r="C16" s="6" t="inlineStr">
        <is>
          <t>Weaviate self-hosted</t>
        </is>
      </c>
      <c r="D16" s="6" t="inlineStr">
        <is>
          <t>PC-01</t>
        </is>
      </c>
      <c r="E16" s="6" t="n">
        <v>0.9</v>
      </c>
      <c r="F16" s="6" t="n">
        <v>0.9</v>
      </c>
      <c r="G16" s="6" t="inlineStr">
        <is>
          <t>weaviate-2026.md</t>
        </is>
      </c>
      <c r="H16" s="6" t="inlineStr">
        <is>
          <t>Choose vector store for RAG (F.6 recommendation)</t>
        </is>
      </c>
      <c r="I16" s="6" t="n">
        <v>8</v>
      </c>
    </row>
    <row r="17">
      <c r="A17" s="6" t="inlineStr">
        <is>
          <t>DN.02</t>
        </is>
      </c>
      <c r="B17" s="6" t="inlineStr">
        <is>
          <t>A</t>
        </is>
      </c>
      <c r="C17" s="6" t="inlineStr">
        <is>
          <t>pgvector (Supabase Postgres)</t>
        </is>
      </c>
      <c r="D17" s="6" t="inlineStr">
        <is>
          <t>PC-02</t>
        </is>
      </c>
      <c r="E17" s="6" t="n">
        <v>45</v>
      </c>
      <c r="F17" s="6" t="n">
        <v>0.78</v>
      </c>
      <c r="G17" s="6" t="inlineStr">
        <is>
          <t>data-model-kb.md</t>
        </is>
      </c>
      <c r="H17" s="6" t="inlineStr">
        <is>
          <t>Choose vector store for RAG (F.6 recommendation)</t>
        </is>
      </c>
      <c r="I17" s="6" t="n"/>
    </row>
    <row r="18">
      <c r="A18" s="6" t="inlineStr">
        <is>
          <t>DN.02</t>
        </is>
      </c>
      <c r="B18" s="6" t="inlineStr">
        <is>
          <t>B</t>
        </is>
      </c>
      <c r="C18" s="6" t="inlineStr">
        <is>
          <t>Pinecone managed</t>
        </is>
      </c>
      <c r="D18" s="6" t="inlineStr">
        <is>
          <t>PC-02</t>
        </is>
      </c>
      <c r="E18" s="6" t="n">
        <v>25</v>
      </c>
      <c r="F18" s="6" t="n">
        <v>0.88</v>
      </c>
      <c r="G18" s="6" t="inlineStr">
        <is>
          <t>pinecone-2026.md</t>
        </is>
      </c>
      <c r="H18" s="6" t="inlineStr">
        <is>
          <t>Choose vector store for RAG (F.6 recommendation)</t>
        </is>
      </c>
      <c r="I18" s="6" t="n">
        <v>10</v>
      </c>
    </row>
    <row r="19">
      <c r="A19" s="6" t="inlineStr">
        <is>
          <t>DN.02</t>
        </is>
      </c>
      <c r="B19" s="6" t="inlineStr">
        <is>
          <t>C</t>
        </is>
      </c>
      <c r="C19" s="6" t="inlineStr">
        <is>
          <t>Weaviate self-hosted</t>
        </is>
      </c>
      <c r="D19" s="6" t="inlineStr">
        <is>
          <t>PC-02</t>
        </is>
      </c>
      <c r="E19" s="6" t="n">
        <v>60</v>
      </c>
      <c r="F19" s="6" t="n">
        <v>0.7</v>
      </c>
      <c r="G19" s="6" t="inlineStr">
        <is>
          <t>weaviate-2026.md</t>
        </is>
      </c>
      <c r="H19" s="6" t="inlineStr">
        <is>
          <t>Choose vector store for RAG (F.6 recommendation)</t>
        </is>
      </c>
      <c r="I19" s="6" t="n">
        <v>8</v>
      </c>
    </row>
    <row r="20">
      <c r="A20" s="6" t="inlineStr">
        <is>
          <t>DN.02</t>
        </is>
      </c>
      <c r="B20" s="6" t="inlineStr">
        <is>
          <t>A</t>
        </is>
      </c>
      <c r="C20" s="6" t="inlineStr">
        <is>
          <t>pgvector (Supabase Postgres)</t>
        </is>
      </c>
      <c r="D20" s="6" t="inlineStr">
        <is>
          <t>PC-03</t>
        </is>
      </c>
      <c r="E20" s="6" t="n">
        <v>0</v>
      </c>
      <c r="F20" s="6" t="n">
        <v>0.95</v>
      </c>
      <c r="G20" s="6" t="inlineStr">
        <is>
          <t>bundled-with-postgres</t>
        </is>
      </c>
      <c r="H20" s="6" t="inlineStr">
        <is>
          <t>Choose vector store for RAG (F.6 recommendation)</t>
        </is>
      </c>
      <c r="I20" s="6" t="n"/>
    </row>
    <row r="21">
      <c r="A21" s="6" t="inlineStr">
        <is>
          <t>DN.02</t>
        </is>
      </c>
      <c r="B21" s="6" t="inlineStr">
        <is>
          <t>B</t>
        </is>
      </c>
      <c r="C21" s="6" t="inlineStr">
        <is>
          <t>Pinecone managed</t>
        </is>
      </c>
      <c r="D21" s="6" t="inlineStr">
        <is>
          <t>PC-03</t>
        </is>
      </c>
      <c r="E21" s="6" t="n">
        <v>120</v>
      </c>
      <c r="F21" s="6" t="n">
        <v>0.5</v>
      </c>
      <c r="G21" s="6" t="inlineStr">
        <is>
          <t>pinecone-2026.md</t>
        </is>
      </c>
      <c r="H21" s="6" t="inlineStr">
        <is>
          <t>Choose vector store for RAG (F.6 recommendation)</t>
        </is>
      </c>
      <c r="I21" s="6" t="n">
        <v>10</v>
      </c>
    </row>
    <row r="22">
      <c r="A22" s="6" t="inlineStr">
        <is>
          <t>DN.02</t>
        </is>
      </c>
      <c r="B22" s="6" t="inlineStr">
        <is>
          <t>C</t>
        </is>
      </c>
      <c r="C22" s="6" t="inlineStr">
        <is>
          <t>Weaviate self-hosted</t>
        </is>
      </c>
      <c r="D22" s="6" t="inlineStr">
        <is>
          <t>PC-03</t>
        </is>
      </c>
      <c r="E22" s="6" t="n">
        <v>60</v>
      </c>
      <c r="F22" s="6" t="n">
        <v>0.65</v>
      </c>
      <c r="G22" s="6" t="inlineStr">
        <is>
          <t>self-host-ops-cost</t>
        </is>
      </c>
      <c r="H22" s="6" t="inlineStr">
        <is>
          <t>Choose vector store for RAG (F.6 recommendation)</t>
        </is>
      </c>
      <c r="I22" s="6" t="n"/>
    </row>
    <row r="23">
      <c r="A23" s="6" t="inlineStr">
        <is>
          <t>DN.02</t>
        </is>
      </c>
      <c r="B23" s="6" t="inlineStr">
        <is>
          <t>A</t>
        </is>
      </c>
      <c r="C23" s="6" t="inlineStr">
        <is>
          <t>pgvector (Supabase Postgres)</t>
        </is>
      </c>
      <c r="D23" s="6" t="inlineStr">
        <is>
          <t>PC-04</t>
        </is>
      </c>
      <c r="E23" s="6" t="n">
        <v>99.90000000000001</v>
      </c>
      <c r="F23" s="6" t="n">
        <v>0.9</v>
      </c>
      <c r="G23" s="6" t="inlineStr">
        <is>
          <t>supabase-2026.md</t>
        </is>
      </c>
      <c r="H23" s="6" t="inlineStr">
        <is>
          <t>Choose vector store for RAG (F.6 recommendation)</t>
        </is>
      </c>
      <c r="I23" s="6" t="n">
        <v>11</v>
      </c>
    </row>
    <row r="24">
      <c r="A24" s="6" t="inlineStr">
        <is>
          <t>DN.02</t>
        </is>
      </c>
      <c r="B24" s="6" t="inlineStr">
        <is>
          <t>B</t>
        </is>
      </c>
      <c r="C24" s="6" t="inlineStr">
        <is>
          <t>Pinecone managed</t>
        </is>
      </c>
      <c r="D24" s="6" t="inlineStr">
        <is>
          <t>PC-04</t>
        </is>
      </c>
      <c r="E24" s="6" t="n">
        <v>99.95</v>
      </c>
      <c r="F24" s="6" t="n">
        <v>0.95</v>
      </c>
      <c r="G24" s="6" t="inlineStr">
        <is>
          <t>pinecone-2026.md</t>
        </is>
      </c>
      <c r="H24" s="6" t="inlineStr">
        <is>
          <t>Choose vector store for RAG (F.6 recommendation)</t>
        </is>
      </c>
      <c r="I24" s="6" t="n">
        <v>10</v>
      </c>
    </row>
    <row r="25">
      <c r="A25" s="6" t="inlineStr">
        <is>
          <t>DN.02</t>
        </is>
      </c>
      <c r="B25" s="6" t="inlineStr">
        <is>
          <t>C</t>
        </is>
      </c>
      <c r="C25" s="6" t="inlineStr">
        <is>
          <t>Weaviate self-hosted</t>
        </is>
      </c>
      <c r="D25" s="6" t="inlineStr">
        <is>
          <t>PC-04</t>
        </is>
      </c>
      <c r="E25" s="6" t="n">
        <v>99.5</v>
      </c>
      <c r="F25" s="6" t="n">
        <v>0.82</v>
      </c>
      <c r="G25" s="6" t="inlineStr">
        <is>
          <t>self-host-single-node</t>
        </is>
      </c>
      <c r="H25" s="6" t="inlineStr">
        <is>
          <t>Choose vector store for RAG (F.6 recommendation)</t>
        </is>
      </c>
      <c r="I25" s="6" t="n"/>
    </row>
    <row r="26">
      <c r="A26" s="6" t="inlineStr">
        <is>
          <t>DN.03</t>
        </is>
      </c>
      <c r="B26" s="6" t="inlineStr">
        <is>
          <t>A</t>
        </is>
      </c>
      <c r="C26" s="6" t="inlineStr">
        <is>
          <t>LangGraph</t>
        </is>
      </c>
      <c r="D26" s="6" t="inlineStr">
        <is>
          <t>PC-01</t>
        </is>
      </c>
      <c r="E26" s="6" t="n">
        <v>0.9</v>
      </c>
      <c r="F26" s="6" t="n">
        <v>0.9</v>
      </c>
      <c r="G26" s="6" t="inlineStr">
        <is>
          <t>software_architecture_system.md</t>
        </is>
      </c>
      <c r="H26" s="6" t="inlineStr">
        <is>
          <t>Choose orchestration runtime for F.2..F.7 chain</t>
        </is>
      </c>
      <c r="I26" s="6" t="n"/>
    </row>
    <row r="27">
      <c r="A27" s="6" t="inlineStr">
        <is>
          <t>DN.03</t>
        </is>
      </c>
      <c r="B27" s="6" t="inlineStr">
        <is>
          <t>B</t>
        </is>
      </c>
      <c r="C27" s="6" t="inlineStr">
        <is>
          <t>LangChain Chains</t>
        </is>
      </c>
      <c r="D27" s="6" t="inlineStr">
        <is>
          <t>PC-01</t>
        </is>
      </c>
      <c r="E27" s="6" t="n">
        <v>0.75</v>
      </c>
      <c r="F27" s="6" t="n">
        <v>0.75</v>
      </c>
      <c r="G27" s="6" t="inlineStr">
        <is>
          <t>software_architecture_system.md</t>
        </is>
      </c>
      <c r="H27" s="6" t="inlineStr">
        <is>
          <t>Choose orchestration runtime for F.2..F.7 chain</t>
        </is>
      </c>
      <c r="I27" s="6" t="n"/>
    </row>
    <row r="28">
      <c r="A28" s="6" t="inlineStr">
        <is>
          <t>DN.03</t>
        </is>
      </c>
      <c r="B28" s="6" t="inlineStr">
        <is>
          <t>C</t>
        </is>
      </c>
      <c r="C28" s="6" t="inlineStr">
        <is>
          <t>Custom orchestrator</t>
        </is>
      </c>
      <c r="D28" s="6" t="inlineStr">
        <is>
          <t>PC-01</t>
        </is>
      </c>
      <c r="E28" s="6" t="n">
        <v>0.85</v>
      </c>
      <c r="F28" s="6" t="n">
        <v>0.85</v>
      </c>
      <c r="G28" s="6" t="inlineStr">
        <is>
          <t>bespoke-flexibility</t>
        </is>
      </c>
      <c r="H28" s="6" t="inlineStr">
        <is>
          <t>Choose orchestration runtime for F.2..F.7 chain</t>
        </is>
      </c>
      <c r="I28" s="6" t="n"/>
    </row>
    <row r="29">
      <c r="A29" s="6" t="inlineStr">
        <is>
          <t>DN.03</t>
        </is>
      </c>
      <c r="B29" s="6" t="inlineStr">
        <is>
          <t>A</t>
        </is>
      </c>
      <c r="C29" s="6" t="inlineStr">
        <is>
          <t>LangGraph</t>
        </is>
      </c>
      <c r="D29" s="6" t="inlineStr">
        <is>
          <t>PC-02</t>
        </is>
      </c>
      <c r="E29" s="6" t="n">
        <v>50</v>
      </c>
      <c r="F29" s="6" t="n">
        <v>0.85</v>
      </c>
      <c r="G29" s="6" t="inlineStr">
        <is>
          <t>software_architecture_system.md</t>
        </is>
      </c>
      <c r="H29" s="6" t="inlineStr">
        <is>
          <t>Choose orchestration runtime for F.2..F.7 chain</t>
        </is>
      </c>
      <c r="I29" s="6" t="n"/>
    </row>
    <row r="30">
      <c r="A30" s="6" t="inlineStr">
        <is>
          <t>DN.03</t>
        </is>
      </c>
      <c r="B30" s="6" t="inlineStr">
        <is>
          <t>B</t>
        </is>
      </c>
      <c r="C30" s="6" t="inlineStr">
        <is>
          <t>LangChain Chains</t>
        </is>
      </c>
      <c r="D30" s="6" t="inlineStr">
        <is>
          <t>PC-02</t>
        </is>
      </c>
      <c r="E30" s="6" t="n">
        <v>30</v>
      </c>
      <c r="F30" s="6" t="n">
        <v>0.9</v>
      </c>
      <c r="G30" s="6" t="inlineStr">
        <is>
          <t>software_architecture_system.md</t>
        </is>
      </c>
      <c r="H30" s="6" t="inlineStr">
        <is>
          <t>Choose orchestration runtime for F.2..F.7 chain</t>
        </is>
      </c>
      <c r="I30" s="6" t="n"/>
    </row>
    <row r="31">
      <c r="A31" s="6" t="inlineStr">
        <is>
          <t>DN.03</t>
        </is>
      </c>
      <c r="B31" s="6" t="inlineStr">
        <is>
          <t>C</t>
        </is>
      </c>
      <c r="C31" s="6" t="inlineStr">
        <is>
          <t>Custom orchestrator</t>
        </is>
      </c>
      <c r="D31" s="6" t="inlineStr">
        <is>
          <t>PC-02</t>
        </is>
      </c>
      <c r="E31" s="6" t="n">
        <v>20</v>
      </c>
      <c r="F31" s="6" t="n">
        <v>0.95</v>
      </c>
      <c r="G31" s="6" t="inlineStr">
        <is>
          <t>bespoke-overhead</t>
        </is>
      </c>
      <c r="H31" s="6" t="inlineStr">
        <is>
          <t>Choose orchestration runtime for F.2..F.7 chain</t>
        </is>
      </c>
      <c r="I31" s="6" t="n"/>
    </row>
    <row r="32">
      <c r="A32" s="6" t="inlineStr">
        <is>
          <t>DN.03</t>
        </is>
      </c>
      <c r="B32" s="6" t="inlineStr">
        <is>
          <t>A</t>
        </is>
      </c>
      <c r="C32" s="6" t="inlineStr">
        <is>
          <t>LangGraph</t>
        </is>
      </c>
      <c r="D32" s="6" t="inlineStr">
        <is>
          <t>PC-03</t>
        </is>
      </c>
      <c r="E32" s="6" t="n">
        <v>0</v>
      </c>
      <c r="F32" s="6" t="n">
        <v>0.9</v>
      </c>
      <c r="G32" s="6" t="inlineStr">
        <is>
          <t>OSS-no-license</t>
        </is>
      </c>
      <c r="H32" s="6" t="inlineStr">
        <is>
          <t>Choose orchestration runtime for F.2..F.7 chain</t>
        </is>
      </c>
      <c r="I32" s="6" t="n"/>
    </row>
    <row r="33">
      <c r="A33" s="6" t="inlineStr">
        <is>
          <t>DN.03</t>
        </is>
      </c>
      <c r="B33" s="6" t="inlineStr">
        <is>
          <t>B</t>
        </is>
      </c>
      <c r="C33" s="6" t="inlineStr">
        <is>
          <t>LangChain Chains</t>
        </is>
      </c>
      <c r="D33" s="6" t="inlineStr">
        <is>
          <t>PC-03</t>
        </is>
      </c>
      <c r="E33" s="6" t="n">
        <v>0</v>
      </c>
      <c r="F33" s="6" t="n">
        <v>0.9</v>
      </c>
      <c r="G33" s="6" t="inlineStr">
        <is>
          <t>OSS-no-license</t>
        </is>
      </c>
      <c r="H33" s="6" t="inlineStr">
        <is>
          <t>Choose orchestration runtime for F.2..F.7 chain</t>
        </is>
      </c>
      <c r="I33" s="6" t="n"/>
    </row>
    <row r="34">
      <c r="A34" s="6" t="inlineStr">
        <is>
          <t>DN.03</t>
        </is>
      </c>
      <c r="B34" s="6" t="inlineStr">
        <is>
          <t>C</t>
        </is>
      </c>
      <c r="C34" s="6" t="inlineStr">
        <is>
          <t>Custom orchestrator</t>
        </is>
      </c>
      <c r="D34" s="6" t="inlineStr">
        <is>
          <t>PC-03</t>
        </is>
      </c>
      <c r="E34" s="6" t="n">
        <v>0</v>
      </c>
      <c r="F34" s="6" t="n">
        <v>0.6</v>
      </c>
      <c r="G34" s="6" t="inlineStr">
        <is>
          <t>bespoke-build-cost</t>
        </is>
      </c>
      <c r="H34" s="6" t="inlineStr">
        <is>
          <t>Choose orchestration runtime for F.2..F.7 chain</t>
        </is>
      </c>
      <c r="I34" s="6" t="n"/>
    </row>
    <row r="35">
      <c r="A35" s="6" t="inlineStr">
        <is>
          <t>DN.03</t>
        </is>
      </c>
      <c r="B35" s="6" t="inlineStr">
        <is>
          <t>A</t>
        </is>
      </c>
      <c r="C35" s="6" t="inlineStr">
        <is>
          <t>LangGraph</t>
        </is>
      </c>
      <c r="D35" s="6" t="inlineStr">
        <is>
          <t>PC-04</t>
        </is>
      </c>
      <c r="E35" s="6" t="n">
        <v>99.90000000000001</v>
      </c>
      <c r="F35" s="6" t="n">
        <v>0.9</v>
      </c>
      <c r="G35" s="6" t="inlineStr">
        <is>
          <t>NFR.05</t>
        </is>
      </c>
      <c r="H35" s="6" t="inlineStr">
        <is>
          <t>Choose orchestration runtime for F.2..F.7 chain</t>
        </is>
      </c>
      <c r="I35" s="6" t="n"/>
    </row>
    <row r="36">
      <c r="A36" s="6" t="inlineStr">
        <is>
          <t>DN.03</t>
        </is>
      </c>
      <c r="B36" s="6" t="inlineStr">
        <is>
          <t>B</t>
        </is>
      </c>
      <c r="C36" s="6" t="inlineStr">
        <is>
          <t>LangChain Chains</t>
        </is>
      </c>
      <c r="D36" s="6" t="inlineStr">
        <is>
          <t>PC-04</t>
        </is>
      </c>
      <c r="E36" s="6" t="n">
        <v>99.90000000000001</v>
      </c>
      <c r="F36" s="6" t="n">
        <v>0.85</v>
      </c>
      <c r="G36" s="6" t="inlineStr">
        <is>
          <t>NFR.05</t>
        </is>
      </c>
      <c r="H36" s="6" t="inlineStr">
        <is>
          <t>Choose orchestration runtime for F.2..F.7 chain</t>
        </is>
      </c>
      <c r="I36" s="6" t="n"/>
    </row>
    <row r="37">
      <c r="A37" s="6" t="inlineStr">
        <is>
          <t>DN.03</t>
        </is>
      </c>
      <c r="B37" s="6" t="inlineStr">
        <is>
          <t>C</t>
        </is>
      </c>
      <c r="C37" s="6" t="inlineStr">
        <is>
          <t>Custom orchestrator</t>
        </is>
      </c>
      <c r="D37" s="6" t="inlineStr">
        <is>
          <t>PC-04</t>
        </is>
      </c>
      <c r="E37" s="6" t="n">
        <v>99.5</v>
      </c>
      <c r="F37" s="6" t="n">
        <v>0.75</v>
      </c>
      <c r="G37" s="6" t="inlineStr">
        <is>
          <t>bespoke-maturity</t>
        </is>
      </c>
      <c r="H37" s="6" t="inlineStr">
        <is>
          <t>Choose orchestration runtime for F.2..F.7 chain</t>
        </is>
      </c>
      <c r="I37" s="6" t="n"/>
    </row>
    <row r="38">
      <c r="A38" s="6" t="inlineStr">
        <is>
          <t>DN.04</t>
        </is>
      </c>
      <c r="B38" s="6" t="inlineStr">
        <is>
          <t>A</t>
        </is>
      </c>
      <c r="C38" s="6" t="inlineStr">
        <is>
          <t>Vercel</t>
        </is>
      </c>
      <c r="D38" s="6" t="inlineStr">
        <is>
          <t>PC-01</t>
        </is>
      </c>
      <c r="E38" s="6" t="n">
        <v>0.9</v>
      </c>
      <c r="F38" s="6" t="n">
        <v>0.9</v>
      </c>
      <c r="G38" s="6" t="inlineStr">
        <is>
          <t>deployment-release-cicd-kb.md</t>
        </is>
      </c>
      <c r="H38" s="6" t="inlineStr">
        <is>
          <t>Choose deployment target for Next.js app tier</t>
        </is>
      </c>
      <c r="I38" s="6" t="n"/>
    </row>
    <row r="39">
      <c r="A39" s="6" t="inlineStr">
        <is>
          <t>DN.04</t>
        </is>
      </c>
      <c r="B39" s="6" t="inlineStr">
        <is>
          <t>B</t>
        </is>
      </c>
      <c r="C39" s="6" t="inlineStr">
        <is>
          <t>Cloud Run</t>
        </is>
      </c>
      <c r="D39" s="6" t="inlineStr">
        <is>
          <t>PC-01</t>
        </is>
      </c>
      <c r="E39" s="6" t="n">
        <v>0.78</v>
      </c>
      <c r="F39" s="6" t="n">
        <v>0.78</v>
      </c>
      <c r="G39" s="6" t="inlineStr">
        <is>
          <t>deployment-release-cicd-kb.md</t>
        </is>
      </c>
      <c r="H39" s="6" t="inlineStr">
        <is>
          <t>Choose deployment target for Next.js app tier</t>
        </is>
      </c>
      <c r="I39" s="6" t="n"/>
    </row>
    <row r="40">
      <c r="A40" s="6" t="inlineStr">
        <is>
          <t>DN.04</t>
        </is>
      </c>
      <c r="B40" s="6" t="inlineStr">
        <is>
          <t>C</t>
        </is>
      </c>
      <c r="C40" s="6" t="inlineStr">
        <is>
          <t>Fly.io</t>
        </is>
      </c>
      <c r="D40" s="6" t="inlineStr">
        <is>
          <t>PC-01</t>
        </is>
      </c>
      <c r="E40" s="6" t="n">
        <v>0.82</v>
      </c>
      <c r="F40" s="6" t="n">
        <v>0.82</v>
      </c>
      <c r="G40" s="6" t="inlineStr">
        <is>
          <t>deployment-release-cicd-kb.md</t>
        </is>
      </c>
      <c r="H40" s="6" t="inlineStr">
        <is>
          <t>Choose deployment target for Next.js app tier</t>
        </is>
      </c>
      <c r="I40" s="6" t="n"/>
    </row>
    <row r="41">
      <c r="A41" s="6" t="inlineStr">
        <is>
          <t>DN.04</t>
        </is>
      </c>
      <c r="B41" s="6" t="inlineStr">
        <is>
          <t>A</t>
        </is>
      </c>
      <c r="C41" s="6" t="inlineStr">
        <is>
          <t>Vercel</t>
        </is>
      </c>
      <c r="D41" s="6" t="inlineStr">
        <is>
          <t>PC-02</t>
        </is>
      </c>
      <c r="E41" s="6" t="n">
        <v>80</v>
      </c>
      <c r="F41" s="6" t="n">
        <v>0.9</v>
      </c>
      <c r="G41" s="6" t="inlineStr">
        <is>
          <t>cdn-networking-kb.md</t>
        </is>
      </c>
      <c r="H41" s="6" t="inlineStr">
        <is>
          <t>Choose deployment target for Next.js app tier</t>
        </is>
      </c>
      <c r="I41" s="6" t="n"/>
    </row>
    <row r="42">
      <c r="A42" s="6" t="inlineStr">
        <is>
          <t>DN.04</t>
        </is>
      </c>
      <c r="B42" s="6" t="inlineStr">
        <is>
          <t>B</t>
        </is>
      </c>
      <c r="C42" s="6" t="inlineStr">
        <is>
          <t>Cloud Run</t>
        </is>
      </c>
      <c r="D42" s="6" t="inlineStr">
        <is>
          <t>PC-02</t>
        </is>
      </c>
      <c r="E42" s="6" t="n">
        <v>120</v>
      </c>
      <c r="F42" s="6" t="n">
        <v>0.8</v>
      </c>
      <c r="G42" s="6" t="inlineStr">
        <is>
          <t>cdn-networking-kb.md</t>
        </is>
      </c>
      <c r="H42" s="6" t="inlineStr">
        <is>
          <t>Choose deployment target for Next.js app tier</t>
        </is>
      </c>
      <c r="I42" s="6" t="n"/>
    </row>
    <row r="43">
      <c r="A43" s="6" t="inlineStr">
        <is>
          <t>DN.04</t>
        </is>
      </c>
      <c r="B43" s="6" t="inlineStr">
        <is>
          <t>C</t>
        </is>
      </c>
      <c r="C43" s="6" t="inlineStr">
        <is>
          <t>Fly.io</t>
        </is>
      </c>
      <c r="D43" s="6" t="inlineStr">
        <is>
          <t>PC-02</t>
        </is>
      </c>
      <c r="E43" s="6" t="n">
        <v>70</v>
      </c>
      <c r="F43" s="6" t="n">
        <v>0.92</v>
      </c>
      <c r="G43" s="6" t="inlineStr">
        <is>
          <t>cdn-networking-kb.md</t>
        </is>
      </c>
      <c r="H43" s="6" t="inlineStr">
        <is>
          <t>Choose deployment target for Next.js app tier</t>
        </is>
      </c>
      <c r="I43" s="6" t="n"/>
    </row>
    <row r="44">
      <c r="A44" s="6" t="inlineStr">
        <is>
          <t>DN.04</t>
        </is>
      </c>
      <c r="B44" s="6" t="inlineStr">
        <is>
          <t>A</t>
        </is>
      </c>
      <c r="C44" s="6" t="inlineStr">
        <is>
          <t>Vercel</t>
        </is>
      </c>
      <c r="D44" s="6" t="inlineStr">
        <is>
          <t>PC-03</t>
        </is>
      </c>
      <c r="E44" s="6" t="n">
        <v>40</v>
      </c>
      <c r="F44" s="6" t="n">
        <v>0.7</v>
      </c>
      <c r="G44" s="6" t="inlineStr">
        <is>
          <t>vercel-team-plan</t>
        </is>
      </c>
      <c r="H44" s="6" t="inlineStr">
        <is>
          <t>Choose deployment target for Next.js app tier</t>
        </is>
      </c>
      <c r="I44" s="6" t="n"/>
    </row>
    <row r="45">
      <c r="A45" s="6" t="inlineStr">
        <is>
          <t>DN.04</t>
        </is>
      </c>
      <c r="B45" s="6" t="inlineStr">
        <is>
          <t>B</t>
        </is>
      </c>
      <c r="C45" s="6" t="inlineStr">
        <is>
          <t>Cloud Run</t>
        </is>
      </c>
      <c r="D45" s="6" t="inlineStr">
        <is>
          <t>PC-03</t>
        </is>
      </c>
      <c r="E45" s="6" t="n">
        <v>25</v>
      </c>
      <c r="F45" s="6" t="n">
        <v>0.8</v>
      </c>
      <c r="G45" s="6" t="inlineStr">
        <is>
          <t>gcp-cloud-run-pricing</t>
        </is>
      </c>
      <c r="H45" s="6" t="inlineStr">
        <is>
          <t>Choose deployment target for Next.js app tier</t>
        </is>
      </c>
      <c r="I45" s="6" t="n"/>
    </row>
    <row r="46">
      <c r="A46" s="6" t="inlineStr">
        <is>
          <t>DN.04</t>
        </is>
      </c>
      <c r="B46" s="6" t="inlineStr">
        <is>
          <t>C</t>
        </is>
      </c>
      <c r="C46" s="6" t="inlineStr">
        <is>
          <t>Fly.io</t>
        </is>
      </c>
      <c r="D46" s="6" t="inlineStr">
        <is>
          <t>PC-03</t>
        </is>
      </c>
      <c r="E46" s="6" t="n">
        <v>30</v>
      </c>
      <c r="F46" s="6" t="n">
        <v>0.78</v>
      </c>
      <c r="G46" s="6" t="inlineStr">
        <is>
          <t>fly-io-pricing</t>
        </is>
      </c>
      <c r="H46" s="6" t="inlineStr">
        <is>
          <t>Choose deployment target for Next.js app tier</t>
        </is>
      </c>
      <c r="I46" s="6" t="n"/>
    </row>
    <row r="47">
      <c r="A47" s="6" t="inlineStr">
        <is>
          <t>DN.04</t>
        </is>
      </c>
      <c r="B47" s="6" t="inlineStr">
        <is>
          <t>A</t>
        </is>
      </c>
      <c r="C47" s="6" t="inlineStr">
        <is>
          <t>Vercel</t>
        </is>
      </c>
      <c r="D47" s="6" t="inlineStr">
        <is>
          <t>PC-04</t>
        </is>
      </c>
      <c r="E47" s="6" t="n">
        <v>99.98999999999999</v>
      </c>
      <c r="F47" s="6" t="n">
        <v>0.98</v>
      </c>
      <c r="G47" s="6" t="inlineStr">
        <is>
          <t>vercel-2026.md</t>
        </is>
      </c>
      <c r="H47" s="6" t="inlineStr">
        <is>
          <t>Choose deployment target for Next.js app tier</t>
        </is>
      </c>
      <c r="I47" s="6" t="n">
        <v>11</v>
      </c>
    </row>
    <row r="48">
      <c r="A48" s="6" t="inlineStr">
        <is>
          <t>DN.04</t>
        </is>
      </c>
      <c r="B48" s="6" t="inlineStr">
        <is>
          <t>B</t>
        </is>
      </c>
      <c r="C48" s="6" t="inlineStr">
        <is>
          <t>Cloud Run</t>
        </is>
      </c>
      <c r="D48" s="6" t="inlineStr">
        <is>
          <t>PC-04</t>
        </is>
      </c>
      <c r="E48" s="6" t="n">
        <v>99.95</v>
      </c>
      <c r="F48" s="6" t="n">
        <v>0.95</v>
      </c>
      <c r="G48" s="6" t="inlineStr">
        <is>
          <t>gcp-cloud-run-2026.md</t>
        </is>
      </c>
      <c r="H48" s="6" t="inlineStr">
        <is>
          <t>Choose deployment target for Next.js app tier</t>
        </is>
      </c>
      <c r="I48" s="6" t="n">
        <v>10</v>
      </c>
    </row>
    <row r="49">
      <c r="A49" s="6" t="inlineStr">
        <is>
          <t>DN.04</t>
        </is>
      </c>
      <c r="B49" s="6" t="inlineStr">
        <is>
          <t>C</t>
        </is>
      </c>
      <c r="C49" s="6" t="inlineStr">
        <is>
          <t>Fly.io</t>
        </is>
      </c>
      <c r="D49" s="6" t="inlineStr">
        <is>
          <t>PC-04</t>
        </is>
      </c>
      <c r="E49" s="6" t="n">
        <v>99.90000000000001</v>
      </c>
      <c r="F49" s="6" t="n">
        <v>0.9</v>
      </c>
      <c r="G49" s="6" t="inlineStr">
        <is>
          <t>fly-io-2026.md</t>
        </is>
      </c>
      <c r="H49" s="6" t="inlineStr">
        <is>
          <t>Choose deployment target for Next.js app tier</t>
        </is>
      </c>
      <c r="I49" s="6" t="n">
        <v>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5" t="inlineStr">
        <is>
          <t>row_id</t>
        </is>
      </c>
      <c r="B1" s="5" t="inlineStr">
        <is>
          <t>decision_node_id</t>
        </is>
      </c>
      <c r="C1" s="5" t="inlineStr">
        <is>
          <t>model_version</t>
        </is>
      </c>
      <c r="D1" s="5" t="inlineStr">
        <is>
          <t>kb_chunk_ids</t>
        </is>
      </c>
      <c r="E1" s="5" t="inlineStr">
        <is>
          <t>engine_rule_id</t>
        </is>
      </c>
      <c r="F1" s="5" t="inlineStr">
        <is>
          <t>timestamp</t>
        </is>
      </c>
      <c r="G1" s="5" t="inlineStr">
        <is>
          <t>hash_chain_prev</t>
        </is>
      </c>
      <c r="H1" s="5" t="inlineStr">
        <is>
          <t>hash_self</t>
        </is>
      </c>
      <c r="I1" s="5" t="inlineStr">
        <is>
          <t>provisional</t>
        </is>
      </c>
    </row>
    <row r="2">
      <c r="A2" s="6" t="inlineStr">
        <is>
          <t>AUDIT.b473f991</t>
        </is>
      </c>
      <c r="B2" s="6" t="inlineStr">
        <is>
          <t>DN.01</t>
        </is>
      </c>
      <c r="C2" s="6" t="inlineStr">
        <is>
          <t>stubbed-nfr-engine@t4b</t>
        </is>
      </c>
      <c r="D2" s="6" t="inlineStr">
        <is>
          <t>kb8/anthropic-claude-2026.md</t>
        </is>
      </c>
      <c r="E2" s="6" t="inlineStr">
        <is>
          <t>rule.score.DN.01.A.PC-01</t>
        </is>
      </c>
      <c r="F2" s="6" t="inlineStr">
        <is>
          <t>2026-04-24T18:00:00-04:00</t>
        </is>
      </c>
      <c r="G2" s="6" t="inlineStr">
        <is>
          <t>GENESIS</t>
        </is>
      </c>
      <c r="H2" s="6" t="inlineStr">
        <is>
          <t>b473f99115d34032</t>
        </is>
      </c>
      <c r="I2" s="6" t="b">
        <v>0</v>
      </c>
    </row>
    <row r="3">
      <c r="A3" s="6" t="inlineStr">
        <is>
          <t>AUDIT.dc7cbe52</t>
        </is>
      </c>
      <c r="B3" s="6" t="inlineStr">
        <is>
          <t>DN.01</t>
        </is>
      </c>
      <c r="C3" s="6" t="inlineStr">
        <is>
          <t>stubbed-nfr-engine@t4b</t>
        </is>
      </c>
      <c r="D3" s="6" t="inlineStr">
        <is>
          <t>kb8/openai-gpt4-2026.md</t>
        </is>
      </c>
      <c r="E3" s="6" t="inlineStr">
        <is>
          <t>rule.score.DN.01.B.PC-01</t>
        </is>
      </c>
      <c r="F3" s="6" t="inlineStr">
        <is>
          <t>2026-04-24T18:00:00-04:00</t>
        </is>
      </c>
      <c r="G3" s="6" t="inlineStr">
        <is>
          <t>b473f99115d34032</t>
        </is>
      </c>
      <c r="H3" s="6" t="inlineStr">
        <is>
          <t>dc7cbe522a5e4b98</t>
        </is>
      </c>
      <c r="I3" s="6" t="b">
        <v>0</v>
      </c>
    </row>
    <row r="4">
      <c r="A4" s="6" t="inlineStr">
        <is>
          <t>AUDIT.cd70373f</t>
        </is>
      </c>
      <c r="B4" s="6" t="inlineStr">
        <is>
          <t>DN.01</t>
        </is>
      </c>
      <c r="C4" s="6" t="inlineStr">
        <is>
          <t>stubbed-nfr-engine@t4b</t>
        </is>
      </c>
      <c r="D4" s="6" t="inlineStr">
        <is>
          <t>inferred/openrouter-routed-mean</t>
        </is>
      </c>
      <c r="E4" s="6" t="inlineStr">
        <is>
          <t>rule.score.DN.01.C.PC-01</t>
        </is>
      </c>
      <c r="F4" s="6" t="inlineStr">
        <is>
          <t>2026-04-24T18:00:00-04:00</t>
        </is>
      </c>
      <c r="G4" s="6" t="inlineStr">
        <is>
          <t>dc7cbe522a5e4b98</t>
        </is>
      </c>
      <c r="H4" s="6" t="inlineStr">
        <is>
          <t>cd70373f3cd7ab3e</t>
        </is>
      </c>
      <c r="I4" s="6" t="b">
        <v>1</v>
      </c>
    </row>
    <row r="5">
      <c r="A5" s="6" t="inlineStr">
        <is>
          <t>AUDIT.953d927b</t>
        </is>
      </c>
      <c r="B5" s="6" t="inlineStr">
        <is>
          <t>DN.01</t>
        </is>
      </c>
      <c r="C5" s="6" t="inlineStr">
        <is>
          <t>stubbed-nfr-engine@t4b</t>
        </is>
      </c>
      <c r="D5" s="6" t="inlineStr">
        <is>
          <t>nfr/NFR.04</t>
        </is>
      </c>
      <c r="E5" s="6" t="inlineStr">
        <is>
          <t>rule.score.DN.01.A.PC-02</t>
        </is>
      </c>
      <c r="F5" s="6" t="inlineStr">
        <is>
          <t>2026-04-24T18:00:00-04:00</t>
        </is>
      </c>
      <c r="G5" s="6" t="inlineStr">
        <is>
          <t>cd70373f3cd7ab3e</t>
        </is>
      </c>
      <c r="H5" s="6" t="inlineStr">
        <is>
          <t>953d927b2677e8bf</t>
        </is>
      </c>
      <c r="I5" s="6" t="b">
        <v>0</v>
      </c>
    </row>
    <row r="6">
      <c r="A6" s="6" t="inlineStr">
        <is>
          <t>AUDIT.cc333d62</t>
        </is>
      </c>
      <c r="B6" s="6" t="inlineStr">
        <is>
          <t>DN.01</t>
        </is>
      </c>
      <c r="C6" s="6" t="inlineStr">
        <is>
          <t>stubbed-nfr-engine@t4b</t>
        </is>
      </c>
      <c r="D6" s="6" t="inlineStr">
        <is>
          <t>kb8/openai-gpt4-2026.md</t>
        </is>
      </c>
      <c r="E6" s="6" t="inlineStr">
        <is>
          <t>rule.score.DN.01.B.PC-02</t>
        </is>
      </c>
      <c r="F6" s="6" t="inlineStr">
        <is>
          <t>2026-04-24T18:00:00-04:00</t>
        </is>
      </c>
      <c r="G6" s="6" t="inlineStr">
        <is>
          <t>953d927b2677e8bf</t>
        </is>
      </c>
      <c r="H6" s="6" t="inlineStr">
        <is>
          <t>cc333d62ed835e03</t>
        </is>
      </c>
      <c r="I6" s="6" t="b">
        <v>0</v>
      </c>
    </row>
    <row r="7">
      <c r="A7" s="6" t="inlineStr">
        <is>
          <t>AUDIT.4d74de9e</t>
        </is>
      </c>
      <c r="B7" s="6" t="inlineStr">
        <is>
          <t>DN.01</t>
        </is>
      </c>
      <c r="C7" s="6" t="inlineStr">
        <is>
          <t>stubbed-nfr-engine@t4b</t>
        </is>
      </c>
      <c r="D7" s="6" t="inlineStr">
        <is>
          <t>inferred/openrouter-routing-overhead</t>
        </is>
      </c>
      <c r="E7" s="6" t="inlineStr">
        <is>
          <t>rule.score.DN.01.C.PC-02</t>
        </is>
      </c>
      <c r="F7" s="6" t="inlineStr">
        <is>
          <t>2026-04-24T18:00:00-04:00</t>
        </is>
      </c>
      <c r="G7" s="6" t="inlineStr">
        <is>
          <t>cc333d62ed835e03</t>
        </is>
      </c>
      <c r="H7" s="6" t="inlineStr">
        <is>
          <t>4d74de9e0ccbda23</t>
        </is>
      </c>
      <c r="I7" s="6" t="b">
        <v>1</v>
      </c>
    </row>
    <row r="8">
      <c r="A8" s="6" t="inlineStr">
        <is>
          <t>AUDIT.e3eb61f8</t>
        </is>
      </c>
      <c r="B8" s="6" t="inlineStr">
        <is>
          <t>DN.01</t>
        </is>
      </c>
      <c r="C8" s="6" t="inlineStr">
        <is>
          <t>stubbed-nfr-engine@t4b</t>
        </is>
      </c>
      <c r="D8" s="6" t="inlineStr">
        <is>
          <t>kb8/anthropic-claude-2026.md</t>
        </is>
      </c>
      <c r="E8" s="6" t="inlineStr">
        <is>
          <t>rule.score.DN.01.A.PC-03</t>
        </is>
      </c>
      <c r="F8" s="6" t="inlineStr">
        <is>
          <t>2026-04-24T18:00:00-04:00</t>
        </is>
      </c>
      <c r="G8" s="6" t="inlineStr">
        <is>
          <t>4d74de9e0ccbda23</t>
        </is>
      </c>
      <c r="H8" s="6" t="inlineStr">
        <is>
          <t>e3eb61f8bb2da392</t>
        </is>
      </c>
      <c r="I8" s="6" t="b">
        <v>0</v>
      </c>
    </row>
    <row r="9">
      <c r="A9" s="6" t="inlineStr">
        <is>
          <t>AUDIT.6177bff2</t>
        </is>
      </c>
      <c r="B9" s="6" t="inlineStr">
        <is>
          <t>DN.01</t>
        </is>
      </c>
      <c r="C9" s="6" t="inlineStr">
        <is>
          <t>stubbed-nfr-engine@t4b</t>
        </is>
      </c>
      <c r="D9" s="6" t="inlineStr">
        <is>
          <t>kb8/openai-gpt4-2026.md</t>
        </is>
      </c>
      <c r="E9" s="6" t="inlineStr">
        <is>
          <t>rule.score.DN.01.B.PC-03</t>
        </is>
      </c>
      <c r="F9" s="6" t="inlineStr">
        <is>
          <t>2026-04-24T18:00:00-04:00</t>
        </is>
      </c>
      <c r="G9" s="6" t="inlineStr">
        <is>
          <t>e3eb61f8bb2da392</t>
        </is>
      </c>
      <c r="H9" s="6" t="inlineStr">
        <is>
          <t>6177bff2692dd1ec</t>
        </is>
      </c>
      <c r="I9" s="6" t="b">
        <v>0</v>
      </c>
    </row>
    <row r="10">
      <c r="A10" s="6" t="inlineStr">
        <is>
          <t>AUDIT.9ed23742</t>
        </is>
      </c>
      <c r="B10" s="6" t="inlineStr">
        <is>
          <t>DN.01</t>
        </is>
      </c>
      <c r="C10" s="6" t="inlineStr">
        <is>
          <t>stubbed-nfr-engine@t4b</t>
        </is>
      </c>
      <c r="D10" s="6" t="inlineStr">
        <is>
          <t>inferred/openrouter-mean-cost</t>
        </is>
      </c>
      <c r="E10" s="6" t="inlineStr">
        <is>
          <t>rule.score.DN.01.C.PC-03</t>
        </is>
      </c>
      <c r="F10" s="6" t="inlineStr">
        <is>
          <t>2026-04-24T18:00:00-04:00</t>
        </is>
      </c>
      <c r="G10" s="6" t="inlineStr">
        <is>
          <t>6177bff2692dd1ec</t>
        </is>
      </c>
      <c r="H10" s="6" t="inlineStr">
        <is>
          <t>9ed2374231a459b9</t>
        </is>
      </c>
      <c r="I10" s="6" t="b">
        <v>1</v>
      </c>
    </row>
    <row r="11">
      <c r="A11" s="6" t="inlineStr">
        <is>
          <t>AUDIT.6c1dc526</t>
        </is>
      </c>
      <c r="B11" s="6" t="inlineStr">
        <is>
          <t>DN.01</t>
        </is>
      </c>
      <c r="C11" s="6" t="inlineStr">
        <is>
          <t>stubbed-nfr-engine@t4b</t>
        </is>
      </c>
      <c r="D11" s="6" t="inlineStr">
        <is>
          <t>kb8/anthropic-claude-2026.md</t>
        </is>
      </c>
      <c r="E11" s="6" t="inlineStr">
        <is>
          <t>rule.score.DN.01.A.PC-04</t>
        </is>
      </c>
      <c r="F11" s="6" t="inlineStr">
        <is>
          <t>2026-04-24T18:00:00-04:00</t>
        </is>
      </c>
      <c r="G11" s="6" t="inlineStr">
        <is>
          <t>9ed2374231a459b9</t>
        </is>
      </c>
      <c r="H11" s="6" t="inlineStr">
        <is>
          <t>6c1dc52691f5c125</t>
        </is>
      </c>
      <c r="I11" s="6" t="b">
        <v>0</v>
      </c>
    </row>
    <row r="12">
      <c r="A12" s="6" t="inlineStr">
        <is>
          <t>AUDIT.95174b0f</t>
        </is>
      </c>
      <c r="B12" s="6" t="inlineStr">
        <is>
          <t>DN.01</t>
        </is>
      </c>
      <c r="C12" s="6" t="inlineStr">
        <is>
          <t>stubbed-nfr-engine@t4b</t>
        </is>
      </c>
      <c r="D12" s="6" t="inlineStr">
        <is>
          <t>kb8/openai-gpt4-2026.md</t>
        </is>
      </c>
      <c r="E12" s="6" t="inlineStr">
        <is>
          <t>rule.score.DN.01.B.PC-04</t>
        </is>
      </c>
      <c r="F12" s="6" t="inlineStr">
        <is>
          <t>2026-04-24T18:00:00-04:00</t>
        </is>
      </c>
      <c r="G12" s="6" t="inlineStr">
        <is>
          <t>6c1dc52691f5c125</t>
        </is>
      </c>
      <c r="H12" s="6" t="inlineStr">
        <is>
          <t>95174b0fdd329abe</t>
        </is>
      </c>
      <c r="I12" s="6" t="b">
        <v>0</v>
      </c>
    </row>
    <row r="13">
      <c r="A13" s="6" t="inlineStr">
        <is>
          <t>AUDIT.dd7cdc78</t>
        </is>
      </c>
      <c r="B13" s="6" t="inlineStr">
        <is>
          <t>DN.01</t>
        </is>
      </c>
      <c r="C13" s="6" t="inlineStr">
        <is>
          <t>stubbed-nfr-engine@t4b</t>
        </is>
      </c>
      <c r="D13" s="6" t="inlineStr">
        <is>
          <t>inferred/openrouter-compound-availability</t>
        </is>
      </c>
      <c r="E13" s="6" t="inlineStr">
        <is>
          <t>rule.score.DN.01.C.PC-04</t>
        </is>
      </c>
      <c r="F13" s="6" t="inlineStr">
        <is>
          <t>2026-04-24T18:00:00-04:00</t>
        </is>
      </c>
      <c r="G13" s="6" t="inlineStr">
        <is>
          <t>95174b0fdd329abe</t>
        </is>
      </c>
      <c r="H13" s="6" t="inlineStr">
        <is>
          <t>dd7cdc782e868ec7</t>
        </is>
      </c>
      <c r="I13" s="6" t="b">
        <v>1</v>
      </c>
    </row>
    <row r="14">
      <c r="A14" s="6" t="inlineStr">
        <is>
          <t>AUDIT.ea281bf5</t>
        </is>
      </c>
      <c r="B14" s="6" t="inlineStr">
        <is>
          <t>DN.02</t>
        </is>
      </c>
      <c r="C14" s="6" t="inlineStr">
        <is>
          <t>stubbed-nfr-engine@t4b</t>
        </is>
      </c>
      <c r="D14" s="6" t="inlineStr">
        <is>
          <t>shared/data-model-kb.md</t>
        </is>
      </c>
      <c r="E14" s="6" t="inlineStr">
        <is>
          <t>rule.score.DN.02.A.PC-01</t>
        </is>
      </c>
      <c r="F14" s="6" t="inlineStr">
        <is>
          <t>2026-04-24T18:00:00-04:00</t>
        </is>
      </c>
      <c r="G14" s="6" t="inlineStr">
        <is>
          <t>dd7cdc782e868ec7</t>
        </is>
      </c>
      <c r="H14" s="6" t="inlineStr">
        <is>
          <t>ea281bf56f0e2326</t>
        </is>
      </c>
      <c r="I14" s="6" t="b">
        <v>0</v>
      </c>
    </row>
    <row r="15">
      <c r="A15" s="6" t="inlineStr">
        <is>
          <t>AUDIT.2ed8d1e5</t>
        </is>
      </c>
      <c r="B15" s="6" t="inlineStr">
        <is>
          <t>DN.02</t>
        </is>
      </c>
      <c r="C15" s="6" t="inlineStr">
        <is>
          <t>stubbed-nfr-engine@t4b</t>
        </is>
      </c>
      <c r="D15" s="6" t="inlineStr">
        <is>
          <t>kb8/pinecone-2026.md</t>
        </is>
      </c>
      <c r="E15" s="6" t="inlineStr">
        <is>
          <t>rule.score.DN.02.B.PC-01</t>
        </is>
      </c>
      <c r="F15" s="6" t="inlineStr">
        <is>
          <t>2026-04-24T18:00:00-04:00</t>
        </is>
      </c>
      <c r="G15" s="6" t="inlineStr">
        <is>
          <t>ea281bf56f0e2326</t>
        </is>
      </c>
      <c r="H15" s="6" t="inlineStr">
        <is>
          <t>2ed8d1e5a05216c5</t>
        </is>
      </c>
      <c r="I15" s="6" t="b">
        <v>0</v>
      </c>
    </row>
    <row r="16">
      <c r="A16" s="6" t="inlineStr">
        <is>
          <t>AUDIT.7baf7889</t>
        </is>
      </c>
      <c r="B16" s="6" t="inlineStr">
        <is>
          <t>DN.02</t>
        </is>
      </c>
      <c r="C16" s="6" t="inlineStr">
        <is>
          <t>stubbed-nfr-engine@t4b</t>
        </is>
      </c>
      <c r="D16" s="6" t="inlineStr">
        <is>
          <t>kb8/weaviate-2026.md</t>
        </is>
      </c>
      <c r="E16" s="6" t="inlineStr">
        <is>
          <t>rule.score.DN.02.C.PC-01</t>
        </is>
      </c>
      <c r="F16" s="6" t="inlineStr">
        <is>
          <t>2026-04-24T18:00:00-04:00</t>
        </is>
      </c>
      <c r="G16" s="6" t="inlineStr">
        <is>
          <t>2ed8d1e5a05216c5</t>
        </is>
      </c>
      <c r="H16" s="6" t="inlineStr">
        <is>
          <t>7baf7889edff9f88</t>
        </is>
      </c>
      <c r="I16" s="6" t="b">
        <v>1</v>
      </c>
    </row>
    <row r="17">
      <c r="A17" s="6" t="inlineStr">
        <is>
          <t>AUDIT.d6836e36</t>
        </is>
      </c>
      <c r="B17" s="6" t="inlineStr">
        <is>
          <t>DN.02</t>
        </is>
      </c>
      <c r="C17" s="6" t="inlineStr">
        <is>
          <t>stubbed-nfr-engine@t4b</t>
        </is>
      </c>
      <c r="D17" s="6" t="inlineStr">
        <is>
          <t>shared/data-model-kb.md</t>
        </is>
      </c>
      <c r="E17" s="6" t="inlineStr">
        <is>
          <t>rule.score.DN.02.A.PC-02</t>
        </is>
      </c>
      <c r="F17" s="6" t="inlineStr">
        <is>
          <t>2026-04-24T18:00:00-04:00</t>
        </is>
      </c>
      <c r="G17" s="6" t="inlineStr">
        <is>
          <t>7baf7889edff9f88</t>
        </is>
      </c>
      <c r="H17" s="6" t="inlineStr">
        <is>
          <t>d6836e36c4718830</t>
        </is>
      </c>
      <c r="I17" s="6" t="b">
        <v>0</v>
      </c>
    </row>
    <row r="18">
      <c r="A18" s="6" t="inlineStr">
        <is>
          <t>AUDIT.0e79ef6f</t>
        </is>
      </c>
      <c r="B18" s="6" t="inlineStr">
        <is>
          <t>DN.02</t>
        </is>
      </c>
      <c r="C18" s="6" t="inlineStr">
        <is>
          <t>stubbed-nfr-engine@t4b</t>
        </is>
      </c>
      <c r="D18" s="6" t="inlineStr">
        <is>
          <t>kb8/pinecone-2026.md</t>
        </is>
      </c>
      <c r="E18" s="6" t="inlineStr">
        <is>
          <t>rule.score.DN.02.B.PC-02</t>
        </is>
      </c>
      <c r="F18" s="6" t="inlineStr">
        <is>
          <t>2026-04-24T18:00:00-04:00</t>
        </is>
      </c>
      <c r="G18" s="6" t="inlineStr">
        <is>
          <t>d6836e36c4718830</t>
        </is>
      </c>
      <c r="H18" s="6" t="inlineStr">
        <is>
          <t>0e79ef6f65238c63</t>
        </is>
      </c>
      <c r="I18" s="6" t="b">
        <v>0</v>
      </c>
    </row>
    <row r="19">
      <c r="A19" s="6" t="inlineStr">
        <is>
          <t>AUDIT.6468f445</t>
        </is>
      </c>
      <c r="B19" s="6" t="inlineStr">
        <is>
          <t>DN.02</t>
        </is>
      </c>
      <c r="C19" s="6" t="inlineStr">
        <is>
          <t>stubbed-nfr-engine@t4b</t>
        </is>
      </c>
      <c r="D19" s="6" t="inlineStr">
        <is>
          <t>kb8/weaviate-2026.md</t>
        </is>
      </c>
      <c r="E19" s="6" t="inlineStr">
        <is>
          <t>rule.score.DN.02.C.PC-02</t>
        </is>
      </c>
      <c r="F19" s="6" t="inlineStr">
        <is>
          <t>2026-04-24T18:00:00-04:00</t>
        </is>
      </c>
      <c r="G19" s="6" t="inlineStr">
        <is>
          <t>0e79ef6f65238c63</t>
        </is>
      </c>
      <c r="H19" s="6" t="inlineStr">
        <is>
          <t>6468f445d5af7cba</t>
        </is>
      </c>
      <c r="I19" s="6" t="b">
        <v>1</v>
      </c>
    </row>
    <row r="20">
      <c r="A20" s="6" t="inlineStr">
        <is>
          <t>AUDIT.bf800903</t>
        </is>
      </c>
      <c r="B20" s="6" t="inlineStr">
        <is>
          <t>DN.02</t>
        </is>
      </c>
      <c r="C20" s="6" t="inlineStr">
        <is>
          <t>stubbed-nfr-engine@t4b</t>
        </is>
      </c>
      <c r="D20" s="6" t="inlineStr">
        <is>
          <t>inferred/bundled-with-postgres</t>
        </is>
      </c>
      <c r="E20" s="6" t="inlineStr">
        <is>
          <t>rule.score.DN.02.A.PC-03</t>
        </is>
      </c>
      <c r="F20" s="6" t="inlineStr">
        <is>
          <t>2026-04-24T18:00:00-04:00</t>
        </is>
      </c>
      <c r="G20" s="6" t="inlineStr">
        <is>
          <t>6468f445d5af7cba</t>
        </is>
      </c>
      <c r="H20" s="6" t="inlineStr">
        <is>
          <t>bf800903eb8e51c0</t>
        </is>
      </c>
      <c r="I20" s="6" t="b">
        <v>0</v>
      </c>
    </row>
    <row r="21">
      <c r="A21" s="6" t="inlineStr">
        <is>
          <t>AUDIT.0377dae8</t>
        </is>
      </c>
      <c r="B21" s="6" t="inlineStr">
        <is>
          <t>DN.02</t>
        </is>
      </c>
      <c r="C21" s="6" t="inlineStr">
        <is>
          <t>stubbed-nfr-engine@t4b</t>
        </is>
      </c>
      <c r="D21" s="6" t="inlineStr">
        <is>
          <t>kb8/pinecone-2026.md</t>
        </is>
      </c>
      <c r="E21" s="6" t="inlineStr">
        <is>
          <t>rule.score.DN.02.B.PC-03</t>
        </is>
      </c>
      <c r="F21" s="6" t="inlineStr">
        <is>
          <t>2026-04-24T18:00:00-04:00</t>
        </is>
      </c>
      <c r="G21" s="6" t="inlineStr">
        <is>
          <t>bf800903eb8e51c0</t>
        </is>
      </c>
      <c r="H21" s="6" t="inlineStr">
        <is>
          <t>0377dae8d92a77ca</t>
        </is>
      </c>
      <c r="I21" s="6" t="b">
        <v>0</v>
      </c>
    </row>
    <row r="22">
      <c r="A22" s="6" t="inlineStr">
        <is>
          <t>AUDIT.a88f9f5d</t>
        </is>
      </c>
      <c r="B22" s="6" t="inlineStr">
        <is>
          <t>DN.02</t>
        </is>
      </c>
      <c r="C22" s="6" t="inlineStr">
        <is>
          <t>stubbed-nfr-engine@t4b</t>
        </is>
      </c>
      <c r="D22" s="6" t="inlineStr">
        <is>
          <t>inferred/self-host-ops-cost</t>
        </is>
      </c>
      <c r="E22" s="6" t="inlineStr">
        <is>
          <t>rule.score.DN.02.C.PC-03</t>
        </is>
      </c>
      <c r="F22" s="6" t="inlineStr">
        <is>
          <t>2026-04-24T18:00:00-04:00</t>
        </is>
      </c>
      <c r="G22" s="6" t="inlineStr">
        <is>
          <t>0377dae8d92a77ca</t>
        </is>
      </c>
      <c r="H22" s="6" t="inlineStr">
        <is>
          <t>a88f9f5d3e5fc22d</t>
        </is>
      </c>
      <c r="I22" s="6" t="b">
        <v>1</v>
      </c>
    </row>
    <row r="23">
      <c r="A23" s="6" t="inlineStr">
        <is>
          <t>AUDIT.dc44c15c</t>
        </is>
      </c>
      <c r="B23" s="6" t="inlineStr">
        <is>
          <t>DN.02</t>
        </is>
      </c>
      <c r="C23" s="6" t="inlineStr">
        <is>
          <t>stubbed-nfr-engine@t4b</t>
        </is>
      </c>
      <c r="D23" s="6" t="inlineStr">
        <is>
          <t>kb8/supabase-2026.md</t>
        </is>
      </c>
      <c r="E23" s="6" t="inlineStr">
        <is>
          <t>rule.score.DN.02.A.PC-04</t>
        </is>
      </c>
      <c r="F23" s="6" t="inlineStr">
        <is>
          <t>2026-04-24T18:00:00-04:00</t>
        </is>
      </c>
      <c r="G23" s="6" t="inlineStr">
        <is>
          <t>a88f9f5d3e5fc22d</t>
        </is>
      </c>
      <c r="H23" s="6" t="inlineStr">
        <is>
          <t>dc44c15c8bf0f491</t>
        </is>
      </c>
      <c r="I23" s="6" t="b">
        <v>0</v>
      </c>
    </row>
    <row r="24">
      <c r="A24" s="6" t="inlineStr">
        <is>
          <t>AUDIT.2881123c</t>
        </is>
      </c>
      <c r="B24" s="6" t="inlineStr">
        <is>
          <t>DN.02</t>
        </is>
      </c>
      <c r="C24" s="6" t="inlineStr">
        <is>
          <t>stubbed-nfr-engine@t4b</t>
        </is>
      </c>
      <c r="D24" s="6" t="inlineStr">
        <is>
          <t>kb8/pinecone-2026.md</t>
        </is>
      </c>
      <c r="E24" s="6" t="inlineStr">
        <is>
          <t>rule.score.DN.02.B.PC-04</t>
        </is>
      </c>
      <c r="F24" s="6" t="inlineStr">
        <is>
          <t>2026-04-24T18:00:00-04:00</t>
        </is>
      </c>
      <c r="G24" s="6" t="inlineStr">
        <is>
          <t>dc44c15c8bf0f491</t>
        </is>
      </c>
      <c r="H24" s="6" t="inlineStr">
        <is>
          <t>2881123c1a4cab24</t>
        </is>
      </c>
      <c r="I24" s="6" t="b">
        <v>0</v>
      </c>
    </row>
    <row r="25">
      <c r="A25" s="6" t="inlineStr">
        <is>
          <t>AUDIT.08e63e93</t>
        </is>
      </c>
      <c r="B25" s="6" t="inlineStr">
        <is>
          <t>DN.02</t>
        </is>
      </c>
      <c r="C25" s="6" t="inlineStr">
        <is>
          <t>stubbed-nfr-engine@t4b</t>
        </is>
      </c>
      <c r="D25" s="6" t="inlineStr">
        <is>
          <t>inferred/self-host-single-node</t>
        </is>
      </c>
      <c r="E25" s="6" t="inlineStr">
        <is>
          <t>rule.score.DN.02.C.PC-04</t>
        </is>
      </c>
      <c r="F25" s="6" t="inlineStr">
        <is>
          <t>2026-04-24T18:00:00-04:00</t>
        </is>
      </c>
      <c r="G25" s="6" t="inlineStr">
        <is>
          <t>2881123c1a4cab24</t>
        </is>
      </c>
      <c r="H25" s="6" t="inlineStr">
        <is>
          <t>08e63e932415c17b</t>
        </is>
      </c>
      <c r="I25" s="6" t="b">
        <v>1</v>
      </c>
    </row>
    <row r="26">
      <c r="A26" s="6" t="inlineStr">
        <is>
          <t>AUDIT.59cd7422</t>
        </is>
      </c>
      <c r="B26" s="6" t="inlineStr">
        <is>
          <t>DN.03</t>
        </is>
      </c>
      <c r="C26" s="6" t="inlineStr">
        <is>
          <t>stubbed-nfr-engine@t4b</t>
        </is>
      </c>
      <c r="D26" s="6" t="inlineStr">
        <is>
          <t>shared/software_architecture_system.md</t>
        </is>
      </c>
      <c r="E26" s="6" t="inlineStr">
        <is>
          <t>rule.score.DN.03.A.PC-01</t>
        </is>
      </c>
      <c r="F26" s="6" t="inlineStr">
        <is>
          <t>2026-04-24T18:00:00-04:00</t>
        </is>
      </c>
      <c r="G26" s="6" t="inlineStr">
        <is>
          <t>08e63e932415c17b</t>
        </is>
      </c>
      <c r="H26" s="6" t="inlineStr">
        <is>
          <t>59cd742287480344</t>
        </is>
      </c>
      <c r="I26" s="6" t="b">
        <v>0</v>
      </c>
    </row>
    <row r="27">
      <c r="A27" s="6" t="inlineStr">
        <is>
          <t>AUDIT.e6f22434</t>
        </is>
      </c>
      <c r="B27" s="6" t="inlineStr">
        <is>
          <t>DN.03</t>
        </is>
      </c>
      <c r="C27" s="6" t="inlineStr">
        <is>
          <t>stubbed-nfr-engine@t4b</t>
        </is>
      </c>
      <c r="D27" s="6" t="inlineStr">
        <is>
          <t>shared/software_architecture_system.md</t>
        </is>
      </c>
      <c r="E27" s="6" t="inlineStr">
        <is>
          <t>rule.score.DN.03.B.PC-01</t>
        </is>
      </c>
      <c r="F27" s="6" t="inlineStr">
        <is>
          <t>2026-04-24T18:00:00-04:00</t>
        </is>
      </c>
      <c r="G27" s="6" t="inlineStr">
        <is>
          <t>59cd742287480344</t>
        </is>
      </c>
      <c r="H27" s="6" t="inlineStr">
        <is>
          <t>e6f2243421e2493c</t>
        </is>
      </c>
      <c r="I27" s="6" t="b">
        <v>0</v>
      </c>
    </row>
    <row r="28">
      <c r="A28" s="6" t="inlineStr">
        <is>
          <t>AUDIT.82f8b2ad</t>
        </is>
      </c>
      <c r="B28" s="6" t="inlineStr">
        <is>
          <t>DN.03</t>
        </is>
      </c>
      <c r="C28" s="6" t="inlineStr">
        <is>
          <t>stubbed-nfr-engine@t4b</t>
        </is>
      </c>
      <c r="D28" s="6" t="inlineStr">
        <is>
          <t>inferred/bespoke-flexibility</t>
        </is>
      </c>
      <c r="E28" s="6" t="inlineStr">
        <is>
          <t>rule.score.DN.03.C.PC-01</t>
        </is>
      </c>
      <c r="F28" s="6" t="inlineStr">
        <is>
          <t>2026-04-24T18:00:00-04:00</t>
        </is>
      </c>
      <c r="G28" s="6" t="inlineStr">
        <is>
          <t>e6f2243421e2493c</t>
        </is>
      </c>
      <c r="H28" s="6" t="inlineStr">
        <is>
          <t>82f8b2ad63fffdb3</t>
        </is>
      </c>
      <c r="I28" s="6" t="b">
        <v>1</v>
      </c>
    </row>
    <row r="29">
      <c r="A29" s="6" t="inlineStr">
        <is>
          <t>AUDIT.13119467</t>
        </is>
      </c>
      <c r="B29" s="6" t="inlineStr">
        <is>
          <t>DN.03</t>
        </is>
      </c>
      <c r="C29" s="6" t="inlineStr">
        <is>
          <t>stubbed-nfr-engine@t4b</t>
        </is>
      </c>
      <c r="D29" s="6" t="inlineStr">
        <is>
          <t>shared/software_architecture_system.md</t>
        </is>
      </c>
      <c r="E29" s="6" t="inlineStr">
        <is>
          <t>rule.score.DN.03.A.PC-02</t>
        </is>
      </c>
      <c r="F29" s="6" t="inlineStr">
        <is>
          <t>2026-04-24T18:00:00-04:00</t>
        </is>
      </c>
      <c r="G29" s="6" t="inlineStr">
        <is>
          <t>82f8b2ad63fffdb3</t>
        </is>
      </c>
      <c r="H29" s="6" t="inlineStr">
        <is>
          <t>131194670a988c36</t>
        </is>
      </c>
      <c r="I29" s="6" t="b">
        <v>0</v>
      </c>
    </row>
    <row r="30">
      <c r="A30" s="6" t="inlineStr">
        <is>
          <t>AUDIT.39916670</t>
        </is>
      </c>
      <c r="B30" s="6" t="inlineStr">
        <is>
          <t>DN.03</t>
        </is>
      </c>
      <c r="C30" s="6" t="inlineStr">
        <is>
          <t>stubbed-nfr-engine@t4b</t>
        </is>
      </c>
      <c r="D30" s="6" t="inlineStr">
        <is>
          <t>shared/software_architecture_system.md</t>
        </is>
      </c>
      <c r="E30" s="6" t="inlineStr">
        <is>
          <t>rule.score.DN.03.B.PC-02</t>
        </is>
      </c>
      <c r="F30" s="6" t="inlineStr">
        <is>
          <t>2026-04-24T18:00:00-04:00</t>
        </is>
      </c>
      <c r="G30" s="6" t="inlineStr">
        <is>
          <t>131194670a988c36</t>
        </is>
      </c>
      <c r="H30" s="6" t="inlineStr">
        <is>
          <t>39916670e35cf03d</t>
        </is>
      </c>
      <c r="I30" s="6" t="b">
        <v>0</v>
      </c>
    </row>
    <row r="31">
      <c r="A31" s="6" t="inlineStr">
        <is>
          <t>AUDIT.33c9acb9</t>
        </is>
      </c>
      <c r="B31" s="6" t="inlineStr">
        <is>
          <t>DN.03</t>
        </is>
      </c>
      <c r="C31" s="6" t="inlineStr">
        <is>
          <t>stubbed-nfr-engine@t4b</t>
        </is>
      </c>
      <c r="D31" s="6" t="inlineStr">
        <is>
          <t>inferred/bespoke-overhead</t>
        </is>
      </c>
      <c r="E31" s="6" t="inlineStr">
        <is>
          <t>rule.score.DN.03.C.PC-02</t>
        </is>
      </c>
      <c r="F31" s="6" t="inlineStr">
        <is>
          <t>2026-04-24T18:00:00-04:00</t>
        </is>
      </c>
      <c r="G31" s="6" t="inlineStr">
        <is>
          <t>39916670e35cf03d</t>
        </is>
      </c>
      <c r="H31" s="6" t="inlineStr">
        <is>
          <t>33c9acb9c283b48c</t>
        </is>
      </c>
      <c r="I31" s="6" t="b">
        <v>1</v>
      </c>
    </row>
    <row r="32">
      <c r="A32" s="6" t="inlineStr">
        <is>
          <t>AUDIT.3cf9eca7</t>
        </is>
      </c>
      <c r="B32" s="6" t="inlineStr">
        <is>
          <t>DN.03</t>
        </is>
      </c>
      <c r="C32" s="6" t="inlineStr">
        <is>
          <t>stubbed-nfr-engine@t4b</t>
        </is>
      </c>
      <c r="D32" s="6" t="inlineStr">
        <is>
          <t>inferred/OSS-no-license</t>
        </is>
      </c>
      <c r="E32" s="6" t="inlineStr">
        <is>
          <t>rule.score.DN.03.A.PC-03</t>
        </is>
      </c>
      <c r="F32" s="6" t="inlineStr">
        <is>
          <t>2026-04-24T18:00:00-04:00</t>
        </is>
      </c>
      <c r="G32" s="6" t="inlineStr">
        <is>
          <t>33c9acb9c283b48c</t>
        </is>
      </c>
      <c r="H32" s="6" t="inlineStr">
        <is>
          <t>3cf9eca7f58c0aae</t>
        </is>
      </c>
      <c r="I32" s="6" t="b">
        <v>0</v>
      </c>
    </row>
    <row r="33">
      <c r="A33" s="6" t="inlineStr">
        <is>
          <t>AUDIT.e3403e39</t>
        </is>
      </c>
      <c r="B33" s="6" t="inlineStr">
        <is>
          <t>DN.03</t>
        </is>
      </c>
      <c r="C33" s="6" t="inlineStr">
        <is>
          <t>stubbed-nfr-engine@t4b</t>
        </is>
      </c>
      <c r="D33" s="6" t="inlineStr">
        <is>
          <t>inferred/OSS-no-license</t>
        </is>
      </c>
      <c r="E33" s="6" t="inlineStr">
        <is>
          <t>rule.score.DN.03.B.PC-03</t>
        </is>
      </c>
      <c r="F33" s="6" t="inlineStr">
        <is>
          <t>2026-04-24T18:00:00-04:00</t>
        </is>
      </c>
      <c r="G33" s="6" t="inlineStr">
        <is>
          <t>3cf9eca7f58c0aae</t>
        </is>
      </c>
      <c r="H33" s="6" t="inlineStr">
        <is>
          <t>e3403e397a740b6f</t>
        </is>
      </c>
      <c r="I33" s="6" t="b">
        <v>0</v>
      </c>
    </row>
    <row r="34">
      <c r="A34" s="6" t="inlineStr">
        <is>
          <t>AUDIT.e388c1eb</t>
        </is>
      </c>
      <c r="B34" s="6" t="inlineStr">
        <is>
          <t>DN.03</t>
        </is>
      </c>
      <c r="C34" s="6" t="inlineStr">
        <is>
          <t>stubbed-nfr-engine@t4b</t>
        </is>
      </c>
      <c r="D34" s="6" t="inlineStr">
        <is>
          <t>inferred/bespoke-build-cost</t>
        </is>
      </c>
      <c r="E34" s="6" t="inlineStr">
        <is>
          <t>rule.score.DN.03.C.PC-03</t>
        </is>
      </c>
      <c r="F34" s="6" t="inlineStr">
        <is>
          <t>2026-04-24T18:00:00-04:00</t>
        </is>
      </c>
      <c r="G34" s="6" t="inlineStr">
        <is>
          <t>e3403e397a740b6f</t>
        </is>
      </c>
      <c r="H34" s="6" t="inlineStr">
        <is>
          <t>e388c1eb36f2d25f</t>
        </is>
      </c>
      <c r="I34" s="6" t="b">
        <v>1</v>
      </c>
    </row>
    <row r="35">
      <c r="A35" s="6" t="inlineStr">
        <is>
          <t>AUDIT.df161dda</t>
        </is>
      </c>
      <c r="B35" s="6" t="inlineStr">
        <is>
          <t>DN.03</t>
        </is>
      </c>
      <c r="C35" s="6" t="inlineStr">
        <is>
          <t>stubbed-nfr-engine@t4b</t>
        </is>
      </c>
      <c r="D35" s="6" t="inlineStr">
        <is>
          <t>nfr/NFR.05</t>
        </is>
      </c>
      <c r="E35" s="6" t="inlineStr">
        <is>
          <t>rule.score.DN.03.A.PC-04</t>
        </is>
      </c>
      <c r="F35" s="6" t="inlineStr">
        <is>
          <t>2026-04-24T18:00:00-04:00</t>
        </is>
      </c>
      <c r="G35" s="6" t="inlineStr">
        <is>
          <t>e388c1eb36f2d25f</t>
        </is>
      </c>
      <c r="H35" s="6" t="inlineStr">
        <is>
          <t>df161dda849761fd</t>
        </is>
      </c>
      <c r="I35" s="6" t="b">
        <v>0</v>
      </c>
    </row>
    <row r="36">
      <c r="A36" s="6" t="inlineStr">
        <is>
          <t>AUDIT.cac973e7</t>
        </is>
      </c>
      <c r="B36" s="6" t="inlineStr">
        <is>
          <t>DN.03</t>
        </is>
      </c>
      <c r="C36" s="6" t="inlineStr">
        <is>
          <t>stubbed-nfr-engine@t4b</t>
        </is>
      </c>
      <c r="D36" s="6" t="inlineStr">
        <is>
          <t>nfr/NFR.05</t>
        </is>
      </c>
      <c r="E36" s="6" t="inlineStr">
        <is>
          <t>rule.score.DN.03.B.PC-04</t>
        </is>
      </c>
      <c r="F36" s="6" t="inlineStr">
        <is>
          <t>2026-04-24T18:00:00-04:00</t>
        </is>
      </c>
      <c r="G36" s="6" t="inlineStr">
        <is>
          <t>df161dda849761fd</t>
        </is>
      </c>
      <c r="H36" s="6" t="inlineStr">
        <is>
          <t>cac973e7b8294ee3</t>
        </is>
      </c>
      <c r="I36" s="6" t="b">
        <v>0</v>
      </c>
    </row>
    <row r="37">
      <c r="A37" s="6" t="inlineStr">
        <is>
          <t>AUDIT.a9468be5</t>
        </is>
      </c>
      <c r="B37" s="6" t="inlineStr">
        <is>
          <t>DN.03</t>
        </is>
      </c>
      <c r="C37" s="6" t="inlineStr">
        <is>
          <t>stubbed-nfr-engine@t4b</t>
        </is>
      </c>
      <c r="D37" s="6" t="inlineStr">
        <is>
          <t>inferred/bespoke-maturity</t>
        </is>
      </c>
      <c r="E37" s="6" t="inlineStr">
        <is>
          <t>rule.score.DN.03.C.PC-04</t>
        </is>
      </c>
      <c r="F37" s="6" t="inlineStr">
        <is>
          <t>2026-04-24T18:00:00-04:00</t>
        </is>
      </c>
      <c r="G37" s="6" t="inlineStr">
        <is>
          <t>cac973e7b8294ee3</t>
        </is>
      </c>
      <c r="H37" s="6" t="inlineStr">
        <is>
          <t>a9468be537c85f0d</t>
        </is>
      </c>
      <c r="I37" s="6" t="b">
        <v>1</v>
      </c>
    </row>
    <row r="38">
      <c r="A38" s="6" t="inlineStr">
        <is>
          <t>AUDIT.8697aa60</t>
        </is>
      </c>
      <c r="B38" s="6" t="inlineStr">
        <is>
          <t>DN.04</t>
        </is>
      </c>
      <c r="C38" s="6" t="inlineStr">
        <is>
          <t>stubbed-nfr-engine@t4b</t>
        </is>
      </c>
      <c r="D38" s="6" t="inlineStr">
        <is>
          <t>shared/deployment-release-cicd-kb.md</t>
        </is>
      </c>
      <c r="E38" s="6" t="inlineStr">
        <is>
          <t>rule.score.DN.04.A.PC-01</t>
        </is>
      </c>
      <c r="F38" s="6" t="inlineStr">
        <is>
          <t>2026-04-24T18:00:00-04:00</t>
        </is>
      </c>
      <c r="G38" s="6" t="inlineStr">
        <is>
          <t>a9468be537c85f0d</t>
        </is>
      </c>
      <c r="H38" s="6" t="inlineStr">
        <is>
          <t>8697aa608019c20d</t>
        </is>
      </c>
      <c r="I38" s="6" t="b">
        <v>0</v>
      </c>
    </row>
    <row r="39">
      <c r="A39" s="6" t="inlineStr">
        <is>
          <t>AUDIT.4a64d415</t>
        </is>
      </c>
      <c r="B39" s="6" t="inlineStr">
        <is>
          <t>DN.04</t>
        </is>
      </c>
      <c r="C39" s="6" t="inlineStr">
        <is>
          <t>stubbed-nfr-engine@t4b</t>
        </is>
      </c>
      <c r="D39" s="6" t="inlineStr">
        <is>
          <t>shared/deployment-release-cicd-kb.md</t>
        </is>
      </c>
      <c r="E39" s="6" t="inlineStr">
        <is>
          <t>rule.score.DN.04.B.PC-01</t>
        </is>
      </c>
      <c r="F39" s="6" t="inlineStr">
        <is>
          <t>2026-04-24T18:00:00-04:00</t>
        </is>
      </c>
      <c r="G39" s="6" t="inlineStr">
        <is>
          <t>8697aa608019c20d</t>
        </is>
      </c>
      <c r="H39" s="6" t="inlineStr">
        <is>
          <t>4a64d41545e1bc84</t>
        </is>
      </c>
      <c r="I39" s="6" t="b">
        <v>0</v>
      </c>
    </row>
    <row r="40">
      <c r="A40" s="6" t="inlineStr">
        <is>
          <t>AUDIT.61add98e</t>
        </is>
      </c>
      <c r="B40" s="6" t="inlineStr">
        <is>
          <t>DN.04</t>
        </is>
      </c>
      <c r="C40" s="6" t="inlineStr">
        <is>
          <t>stubbed-nfr-engine@t4b</t>
        </is>
      </c>
      <c r="D40" s="6" t="inlineStr">
        <is>
          <t>shared/deployment-release-cicd-kb.md</t>
        </is>
      </c>
      <c r="E40" s="6" t="inlineStr">
        <is>
          <t>rule.score.DN.04.C.PC-01</t>
        </is>
      </c>
      <c r="F40" s="6" t="inlineStr">
        <is>
          <t>2026-04-24T18:00:00-04:00</t>
        </is>
      </c>
      <c r="G40" s="6" t="inlineStr">
        <is>
          <t>4a64d41545e1bc84</t>
        </is>
      </c>
      <c r="H40" s="6" t="inlineStr">
        <is>
          <t>61add98e0540d700</t>
        </is>
      </c>
      <c r="I40" s="6" t="b">
        <v>0</v>
      </c>
    </row>
    <row r="41">
      <c r="A41" s="6" t="inlineStr">
        <is>
          <t>AUDIT.f933d102</t>
        </is>
      </c>
      <c r="B41" s="6" t="inlineStr">
        <is>
          <t>DN.04</t>
        </is>
      </c>
      <c r="C41" s="6" t="inlineStr">
        <is>
          <t>stubbed-nfr-engine@t4b</t>
        </is>
      </c>
      <c r="D41" s="6" t="inlineStr">
        <is>
          <t>shared/cdn-networking-kb.md</t>
        </is>
      </c>
      <c r="E41" s="6" t="inlineStr">
        <is>
          <t>rule.score.DN.04.A.PC-02</t>
        </is>
      </c>
      <c r="F41" s="6" t="inlineStr">
        <is>
          <t>2026-04-24T18:00:00-04:00</t>
        </is>
      </c>
      <c r="G41" s="6" t="inlineStr">
        <is>
          <t>61add98e0540d700</t>
        </is>
      </c>
      <c r="H41" s="6" t="inlineStr">
        <is>
          <t>f933d102aca8e013</t>
        </is>
      </c>
      <c r="I41" s="6" t="b">
        <v>0</v>
      </c>
    </row>
    <row r="42">
      <c r="A42" s="6" t="inlineStr">
        <is>
          <t>AUDIT.2cb63e2e</t>
        </is>
      </c>
      <c r="B42" s="6" t="inlineStr">
        <is>
          <t>DN.04</t>
        </is>
      </c>
      <c r="C42" s="6" t="inlineStr">
        <is>
          <t>stubbed-nfr-engine@t4b</t>
        </is>
      </c>
      <c r="D42" s="6" t="inlineStr">
        <is>
          <t>shared/cdn-networking-kb.md</t>
        </is>
      </c>
      <c r="E42" s="6" t="inlineStr">
        <is>
          <t>rule.score.DN.04.B.PC-02</t>
        </is>
      </c>
      <c r="F42" s="6" t="inlineStr">
        <is>
          <t>2026-04-24T18:00:00-04:00</t>
        </is>
      </c>
      <c r="G42" s="6" t="inlineStr">
        <is>
          <t>f933d102aca8e013</t>
        </is>
      </c>
      <c r="H42" s="6" t="inlineStr">
        <is>
          <t>2cb63e2ed2fa04ce</t>
        </is>
      </c>
      <c r="I42" s="6" t="b">
        <v>0</v>
      </c>
    </row>
    <row r="43">
      <c r="A43" s="6" t="inlineStr">
        <is>
          <t>AUDIT.39a7a14a</t>
        </is>
      </c>
      <c r="B43" s="6" t="inlineStr">
        <is>
          <t>DN.04</t>
        </is>
      </c>
      <c r="C43" s="6" t="inlineStr">
        <is>
          <t>stubbed-nfr-engine@t4b</t>
        </is>
      </c>
      <c r="D43" s="6" t="inlineStr">
        <is>
          <t>shared/cdn-networking-kb.md</t>
        </is>
      </c>
      <c r="E43" s="6" t="inlineStr">
        <is>
          <t>rule.score.DN.04.C.PC-02</t>
        </is>
      </c>
      <c r="F43" s="6" t="inlineStr">
        <is>
          <t>2026-04-24T18:00:00-04:00</t>
        </is>
      </c>
      <c r="G43" s="6" t="inlineStr">
        <is>
          <t>2cb63e2ed2fa04ce</t>
        </is>
      </c>
      <c r="H43" s="6" t="inlineStr">
        <is>
          <t>39a7a14a5bf57880</t>
        </is>
      </c>
      <c r="I43" s="6" t="b">
        <v>0</v>
      </c>
    </row>
    <row r="44">
      <c r="A44" s="6" t="inlineStr">
        <is>
          <t>AUDIT.b1250532</t>
        </is>
      </c>
      <c r="B44" s="6" t="inlineStr">
        <is>
          <t>DN.04</t>
        </is>
      </c>
      <c r="C44" s="6" t="inlineStr">
        <is>
          <t>stubbed-nfr-engine@t4b</t>
        </is>
      </c>
      <c r="D44" s="6" t="inlineStr">
        <is>
          <t>inferred/vercel-team-plan</t>
        </is>
      </c>
      <c r="E44" s="6" t="inlineStr">
        <is>
          <t>rule.score.DN.04.A.PC-03</t>
        </is>
      </c>
      <c r="F44" s="6" t="inlineStr">
        <is>
          <t>2026-04-24T18:00:00-04:00</t>
        </is>
      </c>
      <c r="G44" s="6" t="inlineStr">
        <is>
          <t>39a7a14a5bf57880</t>
        </is>
      </c>
      <c r="H44" s="6" t="inlineStr">
        <is>
          <t>b1250532065466cb</t>
        </is>
      </c>
      <c r="I44" s="6" t="b">
        <v>1</v>
      </c>
    </row>
    <row r="45">
      <c r="A45" s="6" t="inlineStr">
        <is>
          <t>AUDIT.941fd73e</t>
        </is>
      </c>
      <c r="B45" s="6" t="inlineStr">
        <is>
          <t>DN.04</t>
        </is>
      </c>
      <c r="C45" s="6" t="inlineStr">
        <is>
          <t>stubbed-nfr-engine@t4b</t>
        </is>
      </c>
      <c r="D45" s="6" t="inlineStr">
        <is>
          <t>inferred/gcp-cloud-run-pricing</t>
        </is>
      </c>
      <c r="E45" s="6" t="inlineStr">
        <is>
          <t>rule.score.DN.04.B.PC-03</t>
        </is>
      </c>
      <c r="F45" s="6" t="inlineStr">
        <is>
          <t>2026-04-24T18:00:00-04:00</t>
        </is>
      </c>
      <c r="G45" s="6" t="inlineStr">
        <is>
          <t>b1250532065466cb</t>
        </is>
      </c>
      <c r="H45" s="6" t="inlineStr">
        <is>
          <t>941fd73e3bac6c74</t>
        </is>
      </c>
      <c r="I45" s="6" t="b">
        <v>1</v>
      </c>
    </row>
    <row r="46">
      <c r="A46" s="6" t="inlineStr">
        <is>
          <t>AUDIT.4d93c900</t>
        </is>
      </c>
      <c r="B46" s="6" t="inlineStr">
        <is>
          <t>DN.04</t>
        </is>
      </c>
      <c r="C46" s="6" t="inlineStr">
        <is>
          <t>stubbed-nfr-engine@t4b</t>
        </is>
      </c>
      <c r="D46" s="6" t="inlineStr">
        <is>
          <t>inferred/fly-io-pricing</t>
        </is>
      </c>
      <c r="E46" s="6" t="inlineStr">
        <is>
          <t>rule.score.DN.04.C.PC-03</t>
        </is>
      </c>
      <c r="F46" s="6" t="inlineStr">
        <is>
          <t>2026-04-24T18:00:00-04:00</t>
        </is>
      </c>
      <c r="G46" s="6" t="inlineStr">
        <is>
          <t>941fd73e3bac6c74</t>
        </is>
      </c>
      <c r="H46" s="6" t="inlineStr">
        <is>
          <t>4d93c900fe05d312</t>
        </is>
      </c>
      <c r="I46" s="6" t="b">
        <v>1</v>
      </c>
    </row>
    <row r="47">
      <c r="A47" s="6" t="inlineStr">
        <is>
          <t>AUDIT.8b47e9df</t>
        </is>
      </c>
      <c r="B47" s="6" t="inlineStr">
        <is>
          <t>DN.04</t>
        </is>
      </c>
      <c r="C47" s="6" t="inlineStr">
        <is>
          <t>stubbed-nfr-engine@t4b</t>
        </is>
      </c>
      <c r="D47" s="6" t="inlineStr">
        <is>
          <t>kb8/vercel-2026.md</t>
        </is>
      </c>
      <c r="E47" s="6" t="inlineStr">
        <is>
          <t>rule.score.DN.04.A.PC-04</t>
        </is>
      </c>
      <c r="F47" s="6" t="inlineStr">
        <is>
          <t>2026-04-24T18:00:00-04:00</t>
        </is>
      </c>
      <c r="G47" s="6" t="inlineStr">
        <is>
          <t>4d93c900fe05d312</t>
        </is>
      </c>
      <c r="H47" s="6" t="inlineStr">
        <is>
          <t>8b47e9dfa1094613</t>
        </is>
      </c>
      <c r="I47" s="6" t="b">
        <v>0</v>
      </c>
    </row>
    <row r="48">
      <c r="A48" s="6" t="inlineStr">
        <is>
          <t>AUDIT.270f269f</t>
        </is>
      </c>
      <c r="B48" s="6" t="inlineStr">
        <is>
          <t>DN.04</t>
        </is>
      </c>
      <c r="C48" s="6" t="inlineStr">
        <is>
          <t>stubbed-nfr-engine@t4b</t>
        </is>
      </c>
      <c r="D48" s="6" t="inlineStr">
        <is>
          <t>kb8/gcp-cloud-run-2026.md</t>
        </is>
      </c>
      <c r="E48" s="6" t="inlineStr">
        <is>
          <t>rule.score.DN.04.B.PC-04</t>
        </is>
      </c>
      <c r="F48" s="6" t="inlineStr">
        <is>
          <t>2026-04-24T18:00:00-04:00</t>
        </is>
      </c>
      <c r="G48" s="6" t="inlineStr">
        <is>
          <t>8b47e9dfa1094613</t>
        </is>
      </c>
      <c r="H48" s="6" t="inlineStr">
        <is>
          <t>270f269f47c0c092</t>
        </is>
      </c>
      <c r="I48" s="6" t="b">
        <v>0</v>
      </c>
    </row>
    <row r="49">
      <c r="A49" s="6" t="inlineStr">
        <is>
          <t>AUDIT.bbad294c</t>
        </is>
      </c>
      <c r="B49" s="6" t="inlineStr">
        <is>
          <t>DN.04</t>
        </is>
      </c>
      <c r="C49" s="6" t="inlineStr">
        <is>
          <t>stubbed-nfr-engine@t4b</t>
        </is>
      </c>
      <c r="D49" s="6" t="inlineStr">
        <is>
          <t>kb8/fly-io-2026.md</t>
        </is>
      </c>
      <c r="E49" s="6" t="inlineStr">
        <is>
          <t>rule.score.DN.04.C.PC-04</t>
        </is>
      </c>
      <c r="F49" s="6" t="inlineStr">
        <is>
          <t>2026-04-24T18:00:00-04:00</t>
        </is>
      </c>
      <c r="G49" s="6" t="inlineStr">
        <is>
          <t>270f269f47c0c092</t>
        </is>
      </c>
      <c r="H49" s="6" t="inlineStr">
        <is>
          <t>bbad294cb399cd28</t>
        </is>
      </c>
      <c r="I49" s="6"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 width="60" customWidth="1" min="4" max="4"/>
    <col width="18" customWidth="1" min="5" max="5"/>
    <col width="18" customWidth="1" min="6" max="6"/>
  </cols>
  <sheetData>
    <row r="1">
      <c r="A1" s="5" t="inlineStr">
        <is>
          <t>id</t>
        </is>
      </c>
      <c r="B1" s="5" t="inlineStr">
        <is>
          <t>name</t>
        </is>
      </c>
      <c r="C1" s="5" t="inlineStr">
        <is>
          <t>kind</t>
        </is>
      </c>
      <c r="D1" s="5" t="inlineStr">
        <is>
          <t>description</t>
        </is>
      </c>
      <c r="E1" s="5" t="inlineStr">
        <is>
          <t>realizes_functions</t>
        </is>
      </c>
      <c r="F1" s="5" t="inlineStr">
        <is>
          <t>redundancy_source_fm</t>
        </is>
      </c>
    </row>
    <row r="2">
      <c r="A2" s="6" t="inlineStr">
        <is>
          <t>FR.01</t>
        </is>
      </c>
      <c r="B2" s="6" t="inlineStr">
        <is>
          <t>Auth Service</t>
        </is>
      </c>
      <c r="C2" s="6" t="inlineStr">
        <is>
          <t>service</t>
        </is>
      </c>
      <c r="D2" s="6" t="inlineStr">
        <is>
          <t>JWT/IDP bridge realizing F.1 authN/authZ. Binds DE.12 session tokens to project scope per FM.08 mitigation.</t>
        </is>
      </c>
      <c r="E2" s="6" t="inlineStr">
        <is>
          <t>F.1</t>
        </is>
      </c>
      <c r="F2" s="6" t="n"/>
    </row>
    <row r="3">
      <c r="A3" s="6" t="inlineStr">
        <is>
          <t>FR.02</t>
        </is>
      </c>
      <c r="B3" s="6" t="inlineStr">
        <is>
          <t>Spec Generator (Primary LLM)</t>
        </is>
      </c>
      <c r="C3" s="6" t="inlineStr">
        <is>
          <t>adapter</t>
        </is>
      </c>
      <c r="D3" s="6" t="inlineStr">
        <is>
          <t>Primary LLM adapter for F.2 spec generation; grounded-retrieval gate enforces NFR.01 citation floor.</t>
        </is>
      </c>
      <c r="E3" s="6" t="inlineStr">
        <is>
          <t>F.2</t>
        </is>
      </c>
      <c r="F3" s="6" t="n"/>
    </row>
    <row r="4">
      <c r="A4" s="6" t="inlineStr">
        <is>
          <t>FR.03</t>
        </is>
      </c>
      <c r="B4" s="6" t="inlineStr">
        <is>
          <t>Spec Generator (Fallback LLM)</t>
        </is>
      </c>
      <c r="C4" s="6" t="inlineStr">
        <is>
          <t>adapter</t>
        </is>
      </c>
      <c r="D4" s="6" t="inlineStr">
        <is>
          <t>Secondary LLM provider for F.2; circuit-breaker fallback when primary DE.13 path unavailable (FM.12 mitigation).</t>
        </is>
      </c>
      <c r="E4" s="6" t="inlineStr">
        <is>
          <t>F.2</t>
        </is>
      </c>
      <c r="F4" s="6" t="inlineStr">
        <is>
          <t>FM.12</t>
        </is>
      </c>
    </row>
    <row r="5">
      <c r="A5" s="6" t="inlineStr">
        <is>
          <t>FR.04</t>
        </is>
      </c>
      <c r="B5" s="6" t="inlineStr">
        <is>
          <t>Review Gate Service</t>
        </is>
      </c>
      <c r="C5" s="6" t="inlineStr">
        <is>
          <t>service</t>
        </is>
      </c>
      <c r="D5" s="6" t="inlineStr">
        <is>
          <t>Realizes F.3; enforces OR.1 guard with compliance-policy digest check (NFR.02).</t>
        </is>
      </c>
      <c r="E5" s="6" t="inlineStr">
        <is>
          <t>F.3</t>
        </is>
      </c>
      <c r="F5" s="6" t="n"/>
    </row>
    <row r="6">
      <c r="A6" s="6" t="inlineStr">
        <is>
          <t>FR.05</t>
        </is>
      </c>
      <c r="B6" s="6" t="inlineStr">
        <is>
          <t>CLI Bundle Emitter</t>
        </is>
      </c>
      <c r="C6" s="6" t="inlineStr">
        <is>
          <t>job</t>
        </is>
      </c>
      <c r="D6" s="6" t="inlineStr">
        <is>
          <t>Realizes F.4; produces DE.06 + DE.15 with redaction pass (FM.09 mitigation); content-addressed spec_id check (NFR.03).</t>
        </is>
      </c>
      <c r="E6" s="6" t="inlineStr">
        <is>
          <t>F.4</t>
        </is>
      </c>
      <c r="F6" s="6" t="n"/>
    </row>
    <row r="7">
      <c r="A7" s="6" t="inlineStr">
        <is>
          <t>FR.06</t>
        </is>
      </c>
      <c r="B7" s="6" t="inlineStr">
        <is>
          <t>Customer-System Adapter</t>
        </is>
      </c>
      <c r="C7" s="6" t="inlineStr">
        <is>
          <t>adapter</t>
        </is>
      </c>
      <c r="D7" s="6" t="inlineStr">
        <is>
          <t>Realizes F.5 connect-adapter; self-meters overhead against MAX_CUSTOMER_SYSTEM_OVERHEAD_PCT=2 (NFR.04).</t>
        </is>
      </c>
      <c r="E7" s="6" t="inlineStr">
        <is>
          <t>F.5</t>
        </is>
      </c>
      <c r="F7" s="6" t="n"/>
    </row>
    <row r="8">
      <c r="A8" s="6" t="inlineStr">
        <is>
          <t>FR.07</t>
        </is>
      </c>
      <c r="B8" s="6" t="inlineStr">
        <is>
          <t>Metric Ingest Service</t>
        </is>
      </c>
      <c r="C8" s="6" t="inlineStr">
        <is>
          <t>service</t>
        </is>
      </c>
      <c r="D8" s="6" t="inlineStr">
        <is>
          <t>Realizes F.6 ingest half; heartbeat + gap-marker pipeline (NFR.05) over DE.08 metric stream.</t>
        </is>
      </c>
      <c r="E8" s="6" t="inlineStr">
        <is>
          <t>F.6</t>
        </is>
      </c>
      <c r="F8" s="6" t="n"/>
    </row>
    <row r="9">
      <c r="A9" s="6" t="inlineStr">
        <is>
          <t>FR.08</t>
        </is>
      </c>
      <c r="B9" s="6" t="inlineStr">
        <is>
          <t>Recommendation Engine</t>
        </is>
      </c>
      <c r="C9" s="6" t="inlineStr">
        <is>
          <t>service</t>
        </is>
      </c>
      <c r="D9" s="6" t="inlineStr">
        <is>
          <t>Realizes F.6 recommend half; bounded-queue + shed-load (FM.06 mitigation); emits DE.10.</t>
        </is>
      </c>
      <c r="E9" s="6" t="inlineStr">
        <is>
          <t>F.6</t>
        </is>
      </c>
      <c r="F9" s="6" t="n"/>
    </row>
    <row r="10">
      <c r="A10" s="6" t="inlineStr">
        <is>
          <t>FR.09</t>
        </is>
      </c>
      <c r="B10" s="6" t="inlineStr">
        <is>
          <t>Traceback Service</t>
        </is>
      </c>
      <c r="C10" s="6" t="inlineStr">
        <is>
          <t>service</t>
        </is>
      </c>
      <c r="D10" s="6" t="inlineStr">
        <is>
          <t>Realizes F.7; fail-closed on missing citations (FM.07 mitigation); consumes DE.09 catalog + DE.08 samples.</t>
        </is>
      </c>
      <c r="E10" s="6" t="inlineStr">
        <is>
          <t>F.7</t>
        </is>
      </c>
      <c r="F10" s="6" t="n"/>
    </row>
    <row r="11">
      <c r="A11" s="6" t="inlineStr">
        <is>
          <t>FR.10</t>
        </is>
      </c>
      <c r="B11" s="6" t="inlineStr">
        <is>
          <t>Audit Event Store</t>
        </is>
      </c>
      <c r="C11" s="6" t="inlineStr">
        <is>
          <t>store</t>
        </is>
      </c>
      <c r="D11" s="6" t="inlineStr">
        <is>
          <t>Cross-cutting store realizing CC.R02 audit trail for F.2/F.3/F.4/F.5/F.6 state mutations (FM.10 mitigation).</t>
        </is>
      </c>
      <c r="E11" s="6" t="inlineStr">
        <is>
          <t>F.2, F.3, F.4, F.5, F.6</t>
        </is>
      </c>
      <c r="F11" s="6"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8" customWidth="1" min="3" max="3"/>
    <col width="18" customWidth="1" min="4" max="4"/>
  </cols>
  <sheetData>
    <row r="1">
      <c r="A1" s="5" t="inlineStr">
        <is>
          <t>id</t>
        </is>
      </c>
      <c r="B1" s="5" t="inlineStr">
        <is>
          <t>name</t>
        </is>
      </c>
      <c r="C1" s="5" t="inlineStr">
        <is>
          <t>uncertainty</t>
        </is>
      </c>
      <c r="D1" s="5" t="inlineStr">
        <is>
          <t>source_uc</t>
        </is>
      </c>
    </row>
    <row r="2">
      <c r="A2" s="6" t="inlineStr">
        <is>
          <t>F.1</t>
        </is>
      </c>
      <c r="B2" s="6" t="inlineStr">
        <is>
          <t>Authenticate &amp; Authorize</t>
        </is>
      </c>
      <c r="C2" s="6" t="inlineStr">
        <is>
          <t>green</t>
        </is>
      </c>
      <c r="D2" s="6" t="n"/>
    </row>
    <row r="3">
      <c r="A3" s="6" t="inlineStr">
        <is>
          <t>F.2</t>
        </is>
      </c>
      <c r="B3" s="6" t="inlineStr">
        <is>
          <t>Generate Spec</t>
        </is>
      </c>
      <c r="C3" s="6" t="inlineStr">
        <is>
          <t>yellow</t>
        </is>
      </c>
      <c r="D3" s="6" t="inlineStr">
        <is>
          <t>UC01</t>
        </is>
      </c>
    </row>
    <row r="4">
      <c r="A4" s="6" t="inlineStr">
        <is>
          <t>F.3</t>
        </is>
      </c>
      <c r="B4" s="6" t="inlineStr">
        <is>
          <t>Review &amp; Approve Spec</t>
        </is>
      </c>
      <c r="C4" s="6" t="inlineStr">
        <is>
          <t>green</t>
        </is>
      </c>
      <c r="D4" s="6" t="inlineStr">
        <is>
          <t>UC03</t>
        </is>
      </c>
    </row>
    <row r="5">
      <c r="A5" s="6" t="inlineStr">
        <is>
          <t>F.4</t>
        </is>
      </c>
      <c r="B5" s="6" t="inlineStr">
        <is>
          <t>Emit CLI Bundle</t>
        </is>
      </c>
      <c r="C5" s="6" t="inlineStr">
        <is>
          <t>yellow</t>
        </is>
      </c>
      <c r="D5" s="6" t="inlineStr">
        <is>
          <t>UC04</t>
        </is>
      </c>
    </row>
    <row r="6">
      <c r="A6" s="6" t="inlineStr">
        <is>
          <t>F.5</t>
        </is>
      </c>
      <c r="B6" s="6" t="inlineStr">
        <is>
          <t>Connect Customer System</t>
        </is>
      </c>
      <c r="C6" s="6" t="inlineStr">
        <is>
          <t>red</t>
        </is>
      </c>
      <c r="D6" s="6" t="inlineStr">
        <is>
          <t>UC11</t>
        </is>
      </c>
    </row>
    <row r="7">
      <c r="A7" s="6" t="inlineStr">
        <is>
          <t>F.6</t>
        </is>
      </c>
      <c r="B7" s="6" t="inlineStr">
        <is>
          <t>Ingest Metrics &amp; Recommend</t>
        </is>
      </c>
      <c r="C7" s="6" t="inlineStr">
        <is>
          <t>red</t>
        </is>
      </c>
      <c r="D7" s="6" t="inlineStr">
        <is>
          <t>UC06</t>
        </is>
      </c>
    </row>
    <row r="8">
      <c r="A8" s="6" t="inlineStr">
        <is>
          <t>F.7</t>
        </is>
      </c>
      <c r="B8" s="6" t="inlineStr">
        <is>
          <t>Trace Recommendations to Metrics</t>
        </is>
      </c>
      <c r="C8" s="6" t="inlineStr">
        <is>
          <t>yellow</t>
        </is>
      </c>
      <c r="D8" s="6" t="inlineStr">
        <is>
          <t>UC08</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5" t="inlineStr">
        <is>
          <t>phase</t>
        </is>
      </c>
      <c r="B1" s="5" t="inlineStr">
        <is>
          <t>cells</t>
        </is>
      </c>
    </row>
    <row r="2">
      <c r="A2" s="6" t="n">
        <v>3</v>
      </c>
      <c r="B2" s="6" t="inlineStr">
        <is>
          <t>[{"function_id": "F.1", "form_id": "FR.01", "relation": "primary"}, {"function_id": "F.2", "form_id": "FR.02", "relation": "primary"}, {"function_id": "F.2", "form_id": "FR.03", "relation": "fallback"}, {"function_id": "F.2", "form_id": "FR.10", "relation": "secondary"}, {"function_id": "F.3", "form_id": "FR.04", "relation": "primary"}, {"function_id": "F.3", "form_id": "FR.10", "relation": "secondary"}, {"function_id": "F.4", "form_id": "FR.05", "relation": "primary"}, {"function_id": "F.4", "form_id": "FR.10", "relation": "secondary"}, {"function_id": "F.5", "form_id": "FR.06", "relation": "primary"}, {"function_id": "F.5", "form_id": "FR.10", "relation": "secondary"}, {"function_id": "F.6", "form_id": "FR.07", "relation": "primary"}, {"function_id": "F.6", "form_id": "FR.08", "relation": "primary"}, {"function_id": "F.6", "form_id": "FR.10", "relation": "secondary"}, {"function_id": "F.7", "form_id": "FR.09", "relation": "primary"}]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5" t="inlineStr">
        <is>
          <t>phase</t>
        </is>
      </c>
      <c r="B1" s="5" t="inlineStr">
        <is>
          <t>scored_cells</t>
        </is>
      </c>
    </row>
    <row r="2">
      <c r="A2" s="6" t="n">
        <v>4</v>
      </c>
      <c r="B2" s="6" t="inlineStr">
        <is>
          <t>[{"function_id": "F.1", "form_id": "FR.01", "concept_quality": {"specificity": 0.95, "coupling": 0.1, "Q": 0.855, "math_derivation_v2": {"formula": "Q = specificity * (1 - coupling)", "citations": [{"source": "Stevens1974", "locator": "IBM Sys J 13(2) pp.115-139", "formula_ref": "F11"}, {"source": "Bass2021", "locator": "Software Architecture in Practice 4e, Ch.8 Modifiability", "formula_ref": "F11"}], "engine": "NFREngineInterpreter"}}}, {"function_id": "F.2", "form_id": "FR.02", "concept_quality": {"specificity": 0.9, "coupling": 0.2, "Q": 0.72, "math_derivation_v2": {"formula": "Q = specificity * (1 - coupling)", "citations": [{"source": "Stevens1974", "locator": "IBM Sys J 13(2) pp.115-139", "formula_ref": "F11"}, {"source": "Bass2021", "locator": "Software Architecture in Practice 4e, Ch.8 Modifiability", "formula_ref": "F11"}], "engine": "NFREngineInterpreter"}}}, {"function_id": "F.2", "form_id": "FR.03", "concept_quality": {"specificity": 0.8, "coupling": 0.25, "Q": 0.6, "math_derivation_v2": {"formula": "Q = specificity * (1 - coupling)", "citations": [{"source": "Stevens1974", "locator": "IBM Sys J 13(2) pp.115-139", "formula_ref": "F11"}, {"source": "Bass2021", "locator": "Software Architecture in Practice 4e, Ch.20 Designing Architecture", "formula_ref": "F11"}], "engine": "NFREngineInterpreter"}}}, {"function_id": "F.2", "form_id": "FR.10", "concept_quality": {"specificity": 0.4, "coupling": 0.4, "Q": 0.24, "math_derivation_v2": {"formula": "Q = specificity * (1 - coupling)", "citations": [{"source": "Stevens1974", "locator": "IBM Sys J 13(2) pp.115-139", "formula_ref": "F11"}, {"source": "Bass2021", "locator": "Software Architecture in Practice 4e, Ch.8", "formula_ref": "F11"}], "engine": "NFREngineInterpreter"}}}, {"function_id": "F.3", "form_id": "FR.04", "concept_quality": {"specificity": 0.9, "coupling": 0.15, "Q": 0.765, "math_derivation_v2": {"formula": "Q = specificity * (1 - coupling)", "citations": [{"source": "Stevens1974", "locator": "IBM Sys J 13(2) pp.115-139", "formula_ref": "F11"}, {"source": "Bass2021", "locator": "Software Architecture in Practice 4e, Ch.8", "formula_ref": "F11"}], "engine": "NFREngineInterpreter"}}}, {"function_id": "F.3", "form_id": "FR.10", "concept_quality": {"specificity": 0.4, "coupling": 0.4, "Q": 0.24, "math_derivation_v2": {"formula": "Q = specificity * (1 - coupling)", "citations": [{"source": "Stevens1974", "locator": "IBM Sys J 13(2) pp.115-139", "formula_ref": "F11"}, {"source": "Bass2021", "locator": "Software Architecture in Practice 4e, Ch.8", "formula_ref": "F11"}], "engine": "NFREngineInterpreter"}}}, {"function_id": "F.4", "form_id": "FR.05", "concept_quality": {"specificity": 0.95, "coupling": 0.2, "Q": 0.76, "math_derivation_v2": {"formula": "Q = specificity * (1 - coupling)", "citations": [{"source": "Stevens1974", "locator": "IBM Sys J 13(2) pp.115-139", "formula_ref": "F11"}, {"source": "Bass2021", "locator": "Software Architecture in Practice 4e, Ch.20", "formula_ref": "F11"}], "engine": "NFREngineInterpreter"}}}, {"function_id": "F.4", "form_id": "FR.10", "concept_quality": {"specificity": 0.4, "coupling": 0.4, "Q": 0.24, "math_derivation_v2": {"formula": "Q = specificity * (1 - coupling)", "citations": [{"source": "Stevens1974", "locator": "IBM Sys J 13(2) pp.115-139", "formula_ref": "F11"}, {"source": "Bass2021", "locator": "Software Architecture in Practice 4e, Ch.8", "formula_ref": "F11"}], "engine": "NFREngineInterpreter"}}}, {"function_id": "F.5", "form_id": "FR.06", "concept_quality": {"specificity": 0.85, "coupling": 0.3, "Q": 0.595, "math_derivation_v2": {"formula": "Q = specificity * (1 - coupling)", "citations": [{"source": "Stevens1974", "locator": "IBM Sys J 13(2) pp.115-139", "formula_ref": "F11"}, {"source": "Bass2021", "locator": "Software Architecture in Practice 4e, Ch.8 Modifiability", "formula_ref": "F11"}], "engine": "NFREngineInterpreter"}}}, {"function_id": "F.5", "form_id": "FR.10", "concept_quality": {"specificity": 0.4, "coupling": 0.4, "Q": 0.24, "math_derivation_v2": {"formula": "Q = specificity * (1 - coupling)", "citations": [{"source": "Stevens1974", "locator": "IBM Sys J 13(2) pp.115-139", "formula_ref": "F11"}, {"source": "Bass2021", "locator": "Software Architecture in Practice 4e, Ch.8", "formula_ref": "F11"}], "engine": "NFREngineInterpreter"}}}, {"function_id": "F.6", "form_id": "FR.07", "concept_quality": {"specificity": 0.85, "coupling": 0.2, "Q": 0.68, "math_derivation_v2": {"formula": "Q = specificity * (1 - coupling)", "citations": [{"source": "Stevens1974", "locator": "IBM Sys J 13(2) pp.115-139", "formula_ref": "F11"}, {"source": "Bass2021", "locator": "Software Architecture in Practice 4e, Ch.8", "formula_ref": "F11"}], "engine": "NFREngineInterpreter"}}}, {"function_id": "F.6", "form_id": "FR.08", "concept_quality": {"specificity": 0.8, "coupling": 0.25, "Q": 0.6, "math_derivation_v2": {"formula": "Q = specificity * (1 - coupling)", "citations": [{"source": "Stevens1974", "locator": "IBM Sys J 13(2) pp.115-139", "formula_ref": "F11"}, {"source": "Bass2021", "locator": "Software Architecture in Practice 4e, Ch.8", "formula_ref": "F11"}], "engine": "NFREngineInterpreter"}}}, {"function_id": "F.6", "form_id": "FR.10", "concept_quality": {"specificity": 0.4, "coupling": 0.4, "Q": 0.24, "math_derivation_v2": {"formula": "Q = specificity * (1 - coupling)", "citations": [{"source": "Stevens1974", "locator": "IBM Sys J 13(2) pp.115-139", "formula_ref": "F11"}, {"source": "Bass2021", "locator": "Software Architecture in Practice 4e, Ch.8", "formula_ref": "F11"}], "engine": "NFREngineInterpreter"}}}, {"function_id": "F.7", "form_id": "FR.09", "concept_quality": {"specificity": 0.9, "coupling": 0.2, "Q": 0.72, "math_derivation_v2": {"formula": "Q = specificity * (1 - coupling)", "citations": [{"source": "Stevens1974", "locator": "IBM Sys J 13(2) pp.115-139", "formula_ref": "F11"}, {"source": "Bass2021", "locator": "Software Architecture in Practice 4e, Ch.8", "formula_ref": "F11"}], "engine": "NFREngineInterpreter"}}}]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5" t="inlineStr">
        <is>
          <t>function_id</t>
        </is>
      </c>
      <c r="B1" s="5" t="inlineStr">
        <is>
          <t>operand</t>
        </is>
      </c>
      <c r="C1" s="5" t="inlineStr">
        <is>
          <t>process</t>
        </is>
      </c>
    </row>
    <row r="2">
      <c r="A2" s="6" t="inlineStr">
        <is>
          <t>F.1</t>
        </is>
      </c>
      <c r="B2" s="6" t="inlineStr">
        <is>
          <t>Session Token (DE.12)</t>
        </is>
      </c>
      <c r="C2" s="6" t="inlineStr">
        <is>
          <t>verify-and-scope</t>
        </is>
      </c>
    </row>
    <row r="3">
      <c r="A3" s="6" t="inlineStr">
        <is>
          <t>F.2</t>
        </is>
      </c>
      <c r="B3" s="6" t="inlineStr">
        <is>
          <t>Founder Idea Prompt (DE.01)</t>
        </is>
      </c>
      <c r="C3" s="6" t="inlineStr">
        <is>
          <t>generate-draft-spec</t>
        </is>
      </c>
    </row>
    <row r="4">
      <c r="A4" s="6" t="inlineStr">
        <is>
          <t>F.2</t>
        </is>
      </c>
      <c r="B4" s="6" t="inlineStr">
        <is>
          <t>Repo Snapshot (DE.02)</t>
        </is>
      </c>
      <c r="C4" s="6" t="inlineStr">
        <is>
          <t>generate-from-code</t>
        </is>
      </c>
    </row>
    <row r="5">
      <c r="A5" s="6" t="inlineStr">
        <is>
          <t>F.3</t>
        </is>
      </c>
      <c r="B5" s="6" t="inlineStr">
        <is>
          <t>Draft Spec (DE.03)</t>
        </is>
      </c>
      <c r="C5" s="6" t="inlineStr">
        <is>
          <t>review-and-gate</t>
        </is>
      </c>
    </row>
    <row r="6">
      <c r="A6" s="6" t="inlineStr">
        <is>
          <t>F.4</t>
        </is>
      </c>
      <c r="B6" s="6" t="inlineStr">
        <is>
          <t>Approved Spec (DE.05)</t>
        </is>
      </c>
      <c r="C6" s="6" t="inlineStr">
        <is>
          <t>emit-cli-bundle</t>
        </is>
      </c>
    </row>
    <row r="7">
      <c r="A7" s="6" t="inlineStr">
        <is>
          <t>F.5</t>
        </is>
      </c>
      <c r="B7" s="6" t="inlineStr">
        <is>
          <t>Connection Manifest (DE.07)</t>
        </is>
      </c>
      <c r="C7" s="6" t="inlineStr">
        <is>
          <t>wire-adapter</t>
        </is>
      </c>
    </row>
    <row r="8">
      <c r="A8" s="6" t="inlineStr">
        <is>
          <t>F.6</t>
        </is>
      </c>
      <c r="B8" s="6" t="inlineStr">
        <is>
          <t>Metric Stream (DE.08)</t>
        </is>
      </c>
      <c r="C8" s="6" t="inlineStr">
        <is>
          <t>ingest-and-recommend</t>
        </is>
      </c>
    </row>
    <row r="9">
      <c r="A9" s="6" t="inlineStr">
        <is>
          <t>F.7</t>
        </is>
      </c>
      <c r="B9" s="6" t="inlineStr">
        <is>
          <t>Recommendation (DE.10)</t>
        </is>
      </c>
      <c r="C9" s="6" t="inlineStr">
        <is>
          <t>trace-to-metrics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5" t="inlineStr">
        <is>
          <t>phase</t>
        </is>
      </c>
      <c r="B1" s="5" t="inlineStr">
        <is>
          <t>decompositions</t>
        </is>
      </c>
    </row>
    <row r="2">
      <c r="A2" s="6" t="n">
        <v>6</v>
      </c>
      <c r="B2" s="6" t="inlineStr">
        <is>
          <t>[{"function_id": "F.2", "alternatives": [{"form_id": "FR.02", "dominance_rationale": "Primary LLM path — lowest latency, highest fidelity when DE.13 is available."}, {"form_id": "FR.03", "dominance_rationale": "Fallback LLM — preserves availability per FM.12 mitigation when primary is down."}]}, {"function_id": "F.6", "alternatives": [{"form_id": "FR.07", "dominance_rationale": "Ingest-first — heartbeat + gap-marker (NFR.05) takes precedence over recommend latency."}, {"form_id": "FR.08", "dominance_rationale": "Recommend-first — bounded-queue shed-load (FM.06) maintains RECOMMENDATION_CADENCE_MIN."}]}, {"function_id": "F.5", "alternatives": [{"form_id": "FR.06", "dominance_rationale": "Primary adapter — self-metered against NFR.04 non-invasive budget."}, {"form_id": "FR.10", "dominance_rationale": "Audit-cross-cut — capture adapter wiring events even when adapter refuses start-up."}]}]</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N62"/>
  <sheetViews>
    <sheetView workbookViewId="0">
      <selection activeCell="A1" sqref="A1"/>
    </sheetView>
  </sheetViews>
  <sheetFormatPr baseColWidth="8" defaultRowHeight="15"/>
  <cols>
    <col width="8.83203125" customWidth="1" min="1" max="1"/>
    <col width="52.6640625" customWidth="1" min="2" max="2"/>
    <col width="33" customWidth="1" min="3" max="3"/>
    <col width="13.1640625" customWidth="1" min="4" max="4"/>
    <col width="4.6640625" customWidth="1" min="5" max="5"/>
    <col width="5.5" customWidth="1" min="19" max="19"/>
    <col width="4.6640625" customWidth="1" min="20" max="20"/>
    <col width="5.5" customWidth="1" min="21" max="21"/>
    <col width="4.6640625" customWidth="1" min="22" max="22"/>
    <col width="6.6640625" customWidth="1" min="28" max="28"/>
    <col width="6.83203125" customWidth="1" min="29" max="29"/>
    <col width="4.6640625" customWidth="1" min="30" max="30"/>
    <col width="8.83203125" customWidth="1" min="31" max="31"/>
    <col width="10.5" customWidth="1" min="39" max="39"/>
    <col width="8.83203125" customWidth="1" min="40" max="40"/>
  </cols>
  <sheetData>
    <row r="1">
      <c r="B1" s="8" t="inlineStr">
        <is>
          <t>Project Title</t>
        </is>
      </c>
    </row>
    <row r="2" ht="17" customHeight="1">
      <c r="A2" s="9" t="inlineStr">
        <is>
          <t xml:space="preserve"> </t>
        </is>
      </c>
      <c r="B2" s="10" t="inlineStr">
        <is>
          <t>c1v Dual-Mode Platform — House of Quality</t>
        </is>
      </c>
      <c r="AN2" s="8" t="n"/>
    </row>
    <row r="3" ht="17" customHeight="1">
      <c r="B3" s="8" t="inlineStr">
        <is>
          <t>Developed by</t>
        </is>
      </c>
      <c r="D3" s="11" t="n">
        <v>1</v>
      </c>
      <c r="E3" s="12" t="n"/>
      <c r="F3" s="13" t="n"/>
      <c r="AM3" s="14" t="n"/>
    </row>
    <row r="4" ht="17" customHeight="1">
      <c r="B4" s="10" t="inlineStr">
        <is>
          <t>David Ancor (Bond)</t>
        </is>
      </c>
      <c r="D4" s="11">
        <f>D3+1</f>
        <v/>
      </c>
      <c r="E4" s="15" t="n">
        <v>-1</v>
      </c>
      <c r="F4" s="16" t="n"/>
      <c r="G4" s="13" t="n"/>
      <c r="AM4" s="14" t="n"/>
    </row>
    <row r="5" ht="17" customHeight="1">
      <c r="B5" s="8" t="inlineStr">
        <is>
          <t>Last Updated</t>
        </is>
      </c>
      <c r="D5" s="11">
        <f>D4+1</f>
        <v/>
      </c>
      <c r="E5" s="15" t="n"/>
      <c r="F5" s="17" t="n"/>
      <c r="G5" s="16" t="n"/>
      <c r="H5" s="13" t="n"/>
      <c r="AM5" s="14" t="n"/>
    </row>
    <row r="6" ht="17" customHeight="1">
      <c r="B6" s="18" t="n">
        <v>46132</v>
      </c>
      <c r="D6" s="11">
        <f>D5+1</f>
        <v/>
      </c>
      <c r="E6" s="15" t="n"/>
      <c r="F6" s="19" t="n">
        <v>-1</v>
      </c>
      <c r="G6" s="17" t="n">
        <v>1</v>
      </c>
      <c r="H6" s="16" t="n"/>
      <c r="I6" s="13" t="n"/>
      <c r="AM6" s="14" t="n"/>
    </row>
    <row r="7" ht="17" customHeight="1">
      <c r="B7" s="8" t="n"/>
      <c r="D7" s="11">
        <f>D6+1</f>
        <v/>
      </c>
      <c r="E7" s="15" t="n"/>
      <c r="F7" s="20" t="n"/>
      <c r="G7" s="19" t="n"/>
      <c r="H7" s="17" t="n"/>
      <c r="I7" s="16" t="n"/>
      <c r="J7" s="13" t="n"/>
      <c r="AM7" s="14" t="n"/>
    </row>
    <row r="8" ht="17" customHeight="1">
      <c r="B8" s="8" t="n"/>
      <c r="D8" s="11">
        <f>D7+1</f>
        <v/>
      </c>
      <c r="E8" s="15" t="n"/>
      <c r="F8" s="20" t="n"/>
      <c r="G8" s="20" t="n"/>
      <c r="H8" s="19" t="n"/>
      <c r="I8" s="17" t="n">
        <v>-1</v>
      </c>
      <c r="J8" s="21" t="n"/>
      <c r="K8" s="13" t="n"/>
      <c r="AM8" s="14" t="n"/>
    </row>
    <row r="9" ht="17" customHeight="1">
      <c r="B9" s="8" t="n"/>
      <c r="D9" s="11">
        <f>D8+1</f>
        <v/>
      </c>
      <c r="E9" s="15" t="n"/>
      <c r="F9" s="20" t="n"/>
      <c r="G9" s="20" t="n"/>
      <c r="H9" s="19" t="n"/>
      <c r="I9" s="17" t="n"/>
      <c r="J9" s="22" t="n">
        <v>1</v>
      </c>
      <c r="K9" s="16" t="n"/>
      <c r="L9" s="13" t="n"/>
      <c r="AM9" s="14" t="n"/>
    </row>
    <row r="10" ht="17" customHeight="1">
      <c r="B10" s="8" t="inlineStr">
        <is>
          <t>Relationships</t>
        </is>
      </c>
      <c r="D10" s="11">
        <f>D9+1</f>
        <v/>
      </c>
      <c r="E10" s="15" t="n"/>
      <c r="F10" s="20" t="n"/>
      <c r="G10" s="20" t="n"/>
      <c r="H10" s="19" t="n"/>
      <c r="I10" s="17" t="n"/>
      <c r="J10" s="22" t="n">
        <v>1</v>
      </c>
      <c r="K10" s="19" t="n">
        <v>1</v>
      </c>
      <c r="L10" s="16" t="n"/>
      <c r="M10" s="13" t="n"/>
      <c r="AM10" s="14" t="n"/>
    </row>
    <row r="11" ht="17" customHeight="1">
      <c r="A11" s="14" t="inlineStr">
        <is>
          <t>+ +</t>
        </is>
      </c>
      <c r="B11" s="11" t="inlineStr">
        <is>
          <t>Strong Positive</t>
        </is>
      </c>
      <c r="D11" s="11">
        <f>D10+1</f>
        <v/>
      </c>
      <c r="E11" s="15" t="n"/>
      <c r="F11" s="20" t="n"/>
      <c r="G11" s="20" t="n"/>
      <c r="H11" s="19" t="n"/>
      <c r="I11" s="17" t="n"/>
      <c r="J11" s="22" t="n"/>
      <c r="K11" s="19" t="n"/>
      <c r="L11" s="19" t="n"/>
      <c r="M11" s="16" t="n"/>
      <c r="N11" s="13" t="n"/>
      <c r="AM11" s="14" t="n"/>
    </row>
    <row r="12" ht="17" customHeight="1">
      <c r="A12" s="14" t="inlineStr">
        <is>
          <t>+</t>
        </is>
      </c>
      <c r="B12" s="11" t="inlineStr">
        <is>
          <t>Positive</t>
        </is>
      </c>
      <c r="D12" s="11">
        <f>D11+1</f>
        <v/>
      </c>
      <c r="E12" s="15" t="n"/>
      <c r="F12" s="20" t="n"/>
      <c r="G12" s="20" t="n"/>
      <c r="H12" s="19" t="n"/>
      <c r="I12" s="17" t="n"/>
      <c r="J12" s="23" t="n"/>
      <c r="K12" s="17" t="n"/>
      <c r="L12" s="17" t="n"/>
      <c r="M12" s="17" t="n"/>
      <c r="N12" s="21" t="n"/>
      <c r="O12" s="13" t="n"/>
      <c r="AM12" s="14" t="n"/>
    </row>
    <row r="13" ht="17" customHeight="1">
      <c r="A13" s="14" t="n"/>
      <c r="B13" s="11" t="inlineStr">
        <is>
          <t>Neutral, Not Applicable</t>
        </is>
      </c>
      <c r="D13" s="11">
        <f>D12+1</f>
        <v/>
      </c>
      <c r="E13" s="15" t="n"/>
      <c r="F13" s="20" t="n"/>
      <c r="G13" s="20" t="n"/>
      <c r="H13" s="19" t="n"/>
      <c r="I13" s="17" t="n"/>
      <c r="J13" s="19" t="n"/>
      <c r="K13" s="19" t="n"/>
      <c r="L13" s="19" t="n"/>
      <c r="M13" s="19" t="n">
        <v>-2</v>
      </c>
      <c r="N13" s="19" t="n">
        <v>1</v>
      </c>
      <c r="O13" s="24" t="n"/>
      <c r="P13" s="13" t="n"/>
      <c r="AM13" s="14" t="n"/>
    </row>
    <row r="14" ht="17" customHeight="1">
      <c r="A14" s="14" t="inlineStr">
        <is>
          <t>x</t>
        </is>
      </c>
      <c r="B14" s="11" t="inlineStr">
        <is>
          <t>Negative</t>
        </is>
      </c>
      <c r="D14" s="11">
        <f>D13+1</f>
        <v/>
      </c>
      <c r="E14" s="15" t="n"/>
      <c r="F14" s="20" t="n"/>
      <c r="G14" s="20" t="n"/>
      <c r="H14" s="19" t="n"/>
      <c r="I14" s="17" t="n"/>
      <c r="J14" s="20" t="n"/>
      <c r="K14" s="20" t="n"/>
      <c r="L14" s="20" t="n"/>
      <c r="M14" s="20" t="n"/>
      <c r="N14" s="20" t="n"/>
      <c r="O14" s="22" t="n"/>
      <c r="P14" s="16" t="n"/>
      <c r="Q14" s="13" t="n"/>
      <c r="AM14" s="14" t="n"/>
    </row>
    <row r="15" ht="17" customHeight="1">
      <c r="A15" s="14" t="inlineStr">
        <is>
          <t>x x</t>
        </is>
      </c>
      <c r="B15" s="11" t="inlineStr">
        <is>
          <t>Strong Negative</t>
        </is>
      </c>
      <c r="D15" s="11">
        <f>D14+1</f>
        <v/>
      </c>
      <c r="E15" s="15" t="n"/>
      <c r="F15" s="20" t="n"/>
      <c r="G15" s="20" t="n"/>
      <c r="H15" s="19" t="n"/>
      <c r="I15" s="17" t="n"/>
      <c r="J15" s="20" t="n"/>
      <c r="K15" s="20" t="n"/>
      <c r="L15" s="20" t="n"/>
      <c r="M15" s="20" t="n"/>
      <c r="N15" s="20" t="n"/>
      <c r="O15" s="22" t="n"/>
      <c r="P15" s="19" t="n">
        <v>1</v>
      </c>
      <c r="Q15" s="16" t="n"/>
      <c r="R15" s="13" t="n"/>
      <c r="AM15" s="14" t="n"/>
    </row>
    <row r="16" ht="17" customHeight="1">
      <c r="B16" s="8" t="n"/>
      <c r="D16" s="11">
        <f>D15+1</f>
        <v/>
      </c>
      <c r="E16" s="15" t="n"/>
      <c r="F16" s="20" t="n"/>
      <c r="G16" s="20" t="n"/>
      <c r="H16" s="20" t="n"/>
      <c r="I16" s="19" t="n"/>
      <c r="J16" s="19" t="n"/>
      <c r="K16" s="19" t="n"/>
      <c r="L16" s="19" t="n"/>
      <c r="M16" s="19" t="n"/>
      <c r="N16" s="19" t="n"/>
      <c r="O16" s="22" t="n"/>
      <c r="P16" s="19" t="n">
        <v>2</v>
      </c>
      <c r="Q16" s="19" t="n"/>
      <c r="R16" s="16" t="n"/>
      <c r="S16" s="13" t="n"/>
      <c r="AM16" s="14" t="n"/>
    </row>
    <row r="17" ht="17" customHeight="1">
      <c r="B17" s="8" t="n"/>
      <c r="D17" s="11">
        <f>D16+1</f>
        <v/>
      </c>
      <c r="E17" s="15" t="n"/>
      <c r="F17" s="20" t="n"/>
      <c r="G17" s="20" t="n"/>
      <c r="H17" s="20" t="n"/>
      <c r="I17" s="20" t="n"/>
      <c r="J17" s="20" t="n"/>
      <c r="K17" s="20" t="n">
        <v>1</v>
      </c>
      <c r="L17" s="20" t="n">
        <v>1</v>
      </c>
      <c r="M17" s="20" t="n"/>
      <c r="N17" s="20" t="n"/>
      <c r="O17" s="23" t="n"/>
      <c r="P17" s="17" t="n"/>
      <c r="Q17" s="17" t="n"/>
      <c r="R17" s="17" t="n"/>
      <c r="S17" s="21" t="n"/>
      <c r="T17" s="13" t="n"/>
      <c r="AM17" s="14" t="n"/>
    </row>
    <row r="18" ht="17" customHeight="1">
      <c r="B18" s="8" t="n"/>
      <c r="D18" s="11">
        <f>D17+1</f>
        <v/>
      </c>
      <c r="E18" s="15" t="n"/>
      <c r="F18" s="25" t="n"/>
      <c r="G18" s="20" t="n"/>
      <c r="H18" s="20" t="n"/>
      <c r="I18" s="20" t="n"/>
      <c r="J18" s="20" t="n"/>
      <c r="K18" s="20" t="n"/>
      <c r="L18" s="20" t="n"/>
      <c r="M18" s="20" t="n"/>
      <c r="N18" s="20" t="n"/>
      <c r="O18" s="19" t="n"/>
      <c r="P18" s="19" t="n"/>
      <c r="Q18" s="19" t="n"/>
      <c r="R18" s="19" t="n"/>
      <c r="S18" s="19" t="n">
        <v>2</v>
      </c>
      <c r="T18" s="16" t="n"/>
      <c r="U18" s="13" t="n"/>
      <c r="AM18" s="14" t="n"/>
    </row>
    <row r="19" ht="17" customHeight="1">
      <c r="B19" s="10" t="n"/>
      <c r="D19" s="11">
        <f>D18+1</f>
        <v/>
      </c>
      <c r="E19" s="15" t="n"/>
      <c r="F19" s="22" t="n"/>
      <c r="G19" s="26" t="n"/>
      <c r="H19" s="20" t="n"/>
      <c r="I19" s="20" t="n"/>
      <c r="J19" s="20" t="n"/>
      <c r="K19" s="20" t="n"/>
      <c r="L19" s="20" t="n"/>
      <c r="M19" s="20" t="n"/>
      <c r="N19" s="20" t="n"/>
      <c r="O19" s="20" t="n"/>
      <c r="P19" s="20" t="n"/>
      <c r="Q19" s="20" t="n"/>
      <c r="R19" s="20" t="n"/>
      <c r="S19" s="20" t="n"/>
      <c r="T19" s="17" t="n"/>
      <c r="U19" s="21" t="n"/>
      <c r="V19" s="13" t="n"/>
    </row>
    <row r="20" ht="17" customHeight="1">
      <c r="D20" s="11">
        <f>D19+1</f>
        <v/>
      </c>
      <c r="E20" s="15" t="n"/>
      <c r="F20" s="22" t="n"/>
      <c r="G20" s="22" t="n"/>
      <c r="H20" s="22" t="n"/>
      <c r="I20" s="20" t="n"/>
      <c r="J20" s="20" t="n"/>
      <c r="K20" s="20" t="n"/>
      <c r="L20" s="20" t="n"/>
      <c r="M20" s="20" t="n"/>
      <c r="N20" s="20" t="n"/>
      <c r="O20" s="20" t="n"/>
      <c r="P20" s="20" t="n"/>
      <c r="Q20" s="20" t="n"/>
      <c r="R20" s="20" t="n"/>
      <c r="S20" s="20" t="n"/>
      <c r="T20" s="19" t="n"/>
      <c r="U20" s="22" t="n"/>
      <c r="V20" s="16" t="n"/>
      <c r="W20" s="13" t="n"/>
    </row>
    <row r="21" ht="17" customHeight="1">
      <c r="D21" s="11">
        <f>D20+1</f>
        <v/>
      </c>
      <c r="E21" s="27" t="n"/>
      <c r="F21" s="23" t="n"/>
      <c r="G21" s="23" t="n"/>
      <c r="H21" s="23" t="n"/>
      <c r="I21" s="23" t="n"/>
      <c r="J21" s="23" t="n"/>
      <c r="K21" s="23" t="n"/>
      <c r="L21" s="23" t="n"/>
      <c r="M21" s="23" t="n"/>
      <c r="N21" s="23" t="n"/>
      <c r="O21" s="23" t="n"/>
      <c r="P21" s="23" t="n"/>
      <c r="Q21" s="23" t="n"/>
      <c r="R21" s="23" t="n"/>
      <c r="S21" s="23" t="n"/>
      <c r="T21" s="17" t="n"/>
      <c r="U21" s="17" t="n"/>
      <c r="V21" s="17" t="n"/>
      <c r="W21" s="21" t="n"/>
      <c r="X21" s="13" t="n"/>
    </row>
    <row r="22" ht="17" customHeight="1">
      <c r="D22" s="11">
        <f>D21+1</f>
        <v/>
      </c>
      <c r="E22" s="15" t="n"/>
      <c r="F22" s="19" t="n"/>
      <c r="G22" s="19" t="n"/>
      <c r="H22" s="19" t="n"/>
      <c r="I22" s="19" t="n"/>
      <c r="J22" s="19" t="n"/>
      <c r="K22" s="19" t="n"/>
      <c r="L22" s="19" t="n"/>
      <c r="M22" s="19" t="n"/>
      <c r="N22" s="19" t="n"/>
      <c r="O22" s="19" t="n"/>
      <c r="P22" s="19" t="n"/>
      <c r="Q22" s="19" t="n"/>
      <c r="R22" s="19" t="n"/>
      <c r="S22" s="19" t="n"/>
      <c r="T22" s="19" t="n"/>
      <c r="U22" s="19" t="n"/>
      <c r="V22" s="19" t="n"/>
      <c r="W22" s="19" t="n"/>
      <c r="X22" s="16" t="n"/>
      <c r="Y22" s="13" t="n"/>
    </row>
    <row r="23" ht="17" customHeight="1">
      <c r="D23" s="11">
        <f>D22+1</f>
        <v/>
      </c>
      <c r="E23" s="28" t="n"/>
      <c r="F23" s="20" t="n"/>
      <c r="G23" s="20" t="n"/>
      <c r="H23" s="20" t="n"/>
      <c r="I23" s="20" t="n"/>
      <c r="J23" s="20" t="n"/>
      <c r="K23" s="20" t="n"/>
      <c r="L23" s="20" t="n"/>
      <c r="M23" s="20" t="n"/>
      <c r="N23" s="20" t="n"/>
      <c r="O23" s="20" t="n"/>
      <c r="P23" s="20" t="n"/>
      <c r="Q23" s="20" t="n"/>
      <c r="R23" s="20" t="n"/>
      <c r="S23" s="20" t="n"/>
      <c r="T23" s="20" t="n"/>
      <c r="U23" s="20" t="n"/>
      <c r="V23" s="20" t="n"/>
      <c r="W23" s="20" t="n"/>
      <c r="X23" s="17" t="n"/>
      <c r="Y23" s="21" t="n"/>
      <c r="Z23" s="13" t="n"/>
    </row>
    <row r="24" ht="17" customHeight="1">
      <c r="D24" s="11">
        <f>D23+1</f>
        <v/>
      </c>
      <c r="E24" s="28" t="n"/>
      <c r="F24" s="20" t="n"/>
      <c r="G24" s="20" t="n"/>
      <c r="H24" s="20" t="n"/>
      <c r="I24" s="20" t="n"/>
      <c r="J24" s="20" t="n"/>
      <c r="K24" s="20" t="n"/>
      <c r="L24" s="20" t="n"/>
      <c r="M24" s="20" t="n"/>
      <c r="N24" s="20" t="n"/>
      <c r="O24" s="20" t="n"/>
      <c r="P24" s="20" t="n"/>
      <c r="Q24" s="20" t="n"/>
      <c r="R24" s="20" t="n"/>
      <c r="S24" s="20" t="n"/>
      <c r="T24" s="20" t="n"/>
      <c r="U24" s="20" t="n"/>
      <c r="V24" s="20" t="n"/>
      <c r="W24" s="20" t="n"/>
      <c r="X24" s="19" t="n"/>
      <c r="Y24" s="22" t="n"/>
      <c r="Z24" s="16" t="n"/>
      <c r="AA24" s="13" t="n"/>
    </row>
    <row r="25" ht="17" customHeight="1">
      <c r="D25" s="11">
        <f>D24+1</f>
        <v/>
      </c>
      <c r="E25" s="28" t="n"/>
      <c r="F25" s="20" t="n"/>
      <c r="G25" s="20" t="n"/>
      <c r="H25" s="20" t="n"/>
      <c r="I25" s="20" t="n"/>
      <c r="J25" s="20" t="n"/>
      <c r="K25" s="20" t="n"/>
      <c r="L25" s="20" t="n"/>
      <c r="M25" s="20" t="n"/>
      <c r="N25" s="20" t="n"/>
      <c r="O25" s="20" t="n"/>
      <c r="P25" s="20" t="n"/>
      <c r="Q25" s="20" t="n"/>
      <c r="R25" s="20" t="n"/>
      <c r="S25" s="20" t="n"/>
      <c r="T25" s="20" t="n"/>
      <c r="U25" s="20" t="n"/>
      <c r="V25" s="20" t="n"/>
      <c r="W25" s="20" t="n"/>
      <c r="X25" s="19" t="n"/>
      <c r="Y25" s="22" t="n"/>
      <c r="Z25" s="19" t="n"/>
      <c r="AA25" s="16" t="n"/>
      <c r="AB25" s="13" t="n"/>
    </row>
    <row r="26" ht="17" customHeight="1">
      <c r="D26" s="11">
        <f>D25+1</f>
        <v/>
      </c>
      <c r="E26" s="28" t="n"/>
      <c r="F26" s="20" t="n"/>
      <c r="G26" s="20" t="n"/>
      <c r="H26" s="20" t="n"/>
      <c r="I26" s="20" t="n"/>
      <c r="J26" s="20" t="n"/>
      <c r="K26" s="20" t="n"/>
      <c r="L26" s="20" t="n"/>
      <c r="M26" s="20" t="n"/>
      <c r="N26" s="20" t="n"/>
      <c r="O26" s="20" t="n"/>
      <c r="P26" s="20" t="n"/>
      <c r="Q26" s="20" t="n"/>
      <c r="R26" s="20" t="n"/>
      <c r="S26" s="20" t="n"/>
      <c r="T26" s="20" t="n"/>
      <c r="U26" s="20" t="n"/>
      <c r="V26" s="20" t="n"/>
      <c r="W26" s="20" t="n"/>
      <c r="X26" s="19" t="n"/>
      <c r="Y26" s="22" t="n"/>
      <c r="Z26" s="19" t="n"/>
      <c r="AA26" s="19" t="n"/>
      <c r="AB26" s="16" t="n"/>
      <c r="AC26" s="13" t="n"/>
    </row>
    <row r="27" ht="17" customHeight="1">
      <c r="D27" s="11">
        <f>D26+1</f>
        <v/>
      </c>
      <c r="E27" s="28" t="n"/>
      <c r="F27" s="20" t="n"/>
      <c r="G27" s="20" t="n"/>
      <c r="H27" s="20" t="n"/>
      <c r="I27" s="20" t="n"/>
      <c r="J27" s="20" t="n"/>
      <c r="K27" s="20" t="n"/>
      <c r="L27" s="20" t="n"/>
      <c r="M27" s="20" t="n"/>
      <c r="N27" s="20" t="n"/>
      <c r="O27" s="20" t="n"/>
      <c r="P27" s="20" t="n"/>
      <c r="Q27" s="20" t="n"/>
      <c r="R27" s="20" t="n"/>
      <c r="S27" s="20" t="n"/>
      <c r="T27" s="20" t="n"/>
      <c r="U27" s="20" t="n"/>
      <c r="V27" s="20" t="n"/>
      <c r="W27" s="20" t="n"/>
      <c r="X27" s="19" t="n"/>
      <c r="Y27" s="22" t="n"/>
      <c r="Z27" s="19" t="n"/>
      <c r="AA27" s="19" t="n"/>
      <c r="AB27" s="19" t="n"/>
      <c r="AC27" s="16" t="n"/>
      <c r="AD27" s="13" t="n"/>
    </row>
    <row r="28" ht="15" customHeight="1">
      <c r="D28" s="11">
        <f>D27+1</f>
        <v/>
      </c>
      <c r="E28" s="28" t="n"/>
      <c r="F28" s="20" t="n"/>
      <c r="G28" s="20" t="n"/>
      <c r="H28" s="20" t="n"/>
      <c r="I28" s="20" t="n"/>
      <c r="J28" s="20" t="n"/>
      <c r="K28" s="20" t="n"/>
      <c r="L28" s="20" t="n"/>
      <c r="M28" s="20" t="n"/>
      <c r="N28" s="20" t="n"/>
      <c r="O28" s="20" t="n"/>
      <c r="P28" s="20" t="n"/>
      <c r="Q28" s="20" t="n"/>
      <c r="R28" s="20" t="n"/>
      <c r="S28" s="20" t="n"/>
      <c r="T28" s="20" t="n"/>
      <c r="U28" s="20" t="n"/>
      <c r="V28" s="20" t="n"/>
      <c r="W28" s="20" t="n"/>
      <c r="X28" s="19" t="n"/>
      <c r="Y28" s="26" t="n"/>
      <c r="Z28" s="29" t="n"/>
      <c r="AA28" s="29" t="n"/>
      <c r="AB28" s="29" t="n"/>
      <c r="AC28" s="19" t="n"/>
      <c r="AD28" s="30" t="n"/>
    </row>
    <row r="29" ht="15" customHeight="1">
      <c r="D29" s="31" t="inlineStr">
        <is>
          <t>ID</t>
        </is>
      </c>
      <c r="E29" s="28" t="n">
        <v>1</v>
      </c>
      <c r="F29" s="22">
        <f>E29+1</f>
        <v/>
      </c>
      <c r="G29" s="22">
        <f>F29+1</f>
        <v/>
      </c>
      <c r="H29" s="22">
        <f>G29+1</f>
        <v/>
      </c>
      <c r="I29" s="22">
        <f>H29+1</f>
        <v/>
      </c>
      <c r="J29" s="22">
        <f>I29+1</f>
        <v/>
      </c>
      <c r="K29" s="22">
        <f>J29+1</f>
        <v/>
      </c>
      <c r="L29" s="22">
        <f>K29+1</f>
        <v/>
      </c>
      <c r="M29" s="22">
        <f>L29+1</f>
        <v/>
      </c>
      <c r="N29" s="22">
        <f>M29+1</f>
        <v/>
      </c>
      <c r="O29" s="22">
        <f>N29+1</f>
        <v/>
      </c>
      <c r="P29" s="22">
        <f>O29+1</f>
        <v/>
      </c>
      <c r="Q29" s="22">
        <f>P29+1</f>
        <v/>
      </c>
      <c r="R29" s="22">
        <f>Q29+1</f>
        <v/>
      </c>
      <c r="S29" s="22">
        <f>R29+1</f>
        <v/>
      </c>
      <c r="T29" s="22">
        <f>S29+1</f>
        <v/>
      </c>
      <c r="U29" s="22">
        <f>T29+1</f>
        <v/>
      </c>
      <c r="V29" s="22">
        <f>U29+1</f>
        <v/>
      </c>
      <c r="W29" s="22">
        <f>V29+1</f>
        <v/>
      </c>
      <c r="X29" s="22">
        <f>W29+1</f>
        <v/>
      </c>
      <c r="Y29" s="22">
        <f>X29+1</f>
        <v/>
      </c>
      <c r="Z29" s="22">
        <f>Y29+1</f>
        <v/>
      </c>
      <c r="AA29" s="22">
        <f>Z29+1</f>
        <v/>
      </c>
      <c r="AB29" s="22">
        <f>AA29+1</f>
        <v/>
      </c>
      <c r="AC29" s="19">
        <f>AB29+1</f>
        <v/>
      </c>
      <c r="AD29" s="32">
        <f>AC29+1</f>
        <v/>
      </c>
      <c r="AE29" s="33" t="inlineStr">
        <is>
          <t>Engineering Characteristics</t>
        </is>
      </c>
      <c r="AF29" s="34" t="n"/>
      <c r="AG29" s="34" t="n"/>
      <c r="AH29" s="35" t="n"/>
    </row>
    <row r="30" ht="191.25" customHeight="1">
      <c r="D30" s="36" t="inlineStr">
        <is>
          <t>Relative Importance</t>
        </is>
      </c>
      <c r="E30" s="37" t="inlineStr">
        <is>
          <t>Probe frequency</t>
        </is>
      </c>
      <c r="F30" s="38" t="inlineStr">
        <is>
          <t>Aggregation window</t>
        </is>
      </c>
      <c r="G30" s="38" t="inlineStr">
        <is>
          <t>Metric payload size</t>
        </is>
      </c>
      <c r="H30" s="38" t="inlineStr">
        <is>
          <t>Probe batch size</t>
        </is>
      </c>
      <c r="I30" s="38" t="inlineStr">
        <is>
          <t>LLM routing granularity</t>
        </is>
      </c>
      <c r="J30" s="38" t="inlineStr">
        <is>
          <t>Parallel agent dispatch count</t>
        </is>
      </c>
      <c r="K30" s="38" t="inlineStr">
        <is>
          <t>Prompt-cache hit rate</t>
        </is>
      </c>
      <c r="L30" s="38" t="inlineStr">
        <is>
          <t>Context tokens per agent call</t>
        </is>
      </c>
      <c r="M30" s="38" t="inlineStr">
        <is>
          <t>Traceback cache TTL</t>
        </is>
      </c>
      <c r="N30" s="38" t="inlineStr">
        <is>
          <t>Citation completeness floor</t>
        </is>
      </c>
      <c r="O30" s="38" t="inlineStr">
        <is>
          <t>Vendor-doc refresh cadence</t>
        </is>
      </c>
      <c r="P30" s="38" t="inlineStr">
        <is>
          <t>Spec artifact format count</t>
        </is>
      </c>
      <c r="Q30" s="38" t="inlineStr">
        <is>
          <t>Quick Start step count</t>
        </is>
      </c>
      <c r="R30" s="38" t="inlineStr">
        <is>
          <t>CLI bundle size</t>
        </is>
      </c>
      <c r="S30" s="38" t="inlineStr">
        <is>
          <t>Founder intake turn budget</t>
        </is>
      </c>
      <c r="T30" s="38" t="inlineStr">
        <is>
          <t>Streaming UI chunk cadence</t>
        </is>
      </c>
      <c r="U30" s="38" t="inlineStr">
        <is>
          <t>Credential rotation cadence</t>
        </is>
      </c>
      <c r="V30" s="38" t="inlineStr">
        <is>
          <t>Audit log retention</t>
        </is>
      </c>
      <c r="W30" s="38" t="n"/>
      <c r="X30" s="39" t="n"/>
      <c r="Y30" s="40" t="n"/>
      <c r="Z30" s="39" t="n"/>
      <c r="AA30" s="39" t="n"/>
      <c r="AB30" s="39" t="n"/>
      <c r="AC30" s="39" t="n"/>
      <c r="AD30" s="41" t="n"/>
      <c r="AE30" s="42" t="inlineStr">
        <is>
          <t>Customer Perception / Performance Scores</t>
        </is>
      </c>
      <c r="AF30" s="43" t="n"/>
      <c r="AG30" s="43" t="n"/>
      <c r="AH30" s="43" t="n"/>
      <c r="AI30" s="43" t="n"/>
      <c r="AJ30" s="43" t="n"/>
      <c r="AK30" s="43" t="n"/>
      <c r="AL30" s="43" t="n"/>
    </row>
    <row r="31" ht="15.75" customHeight="1">
      <c r="B31" s="8" t="inlineStr">
        <is>
          <t>Performance Criteria (or Measures) / Customer Attributes</t>
        </is>
      </c>
      <c r="C31" s="31" t="inlineStr">
        <is>
          <t>Direction of Change   ↑  ↓</t>
        </is>
      </c>
      <c r="D31" s="44" t="n"/>
      <c r="E31" s="45" t="inlineStr">
        <is>
          <t>↓</t>
        </is>
      </c>
      <c r="F31" s="46" t="inlineStr">
        <is>
          <t>↓</t>
        </is>
      </c>
      <c r="G31" s="46" t="inlineStr">
        <is>
          <t>↓</t>
        </is>
      </c>
      <c r="H31" s="46" t="inlineStr">
        <is>
          <t>↑</t>
        </is>
      </c>
      <c r="I31" s="46" t="inlineStr">
        <is>
          <t>target</t>
        </is>
      </c>
      <c r="J31" s="46" t="inlineStr">
        <is>
          <t>↑</t>
        </is>
      </c>
      <c r="K31" s="46" t="inlineStr">
        <is>
          <t>↑</t>
        </is>
      </c>
      <c r="L31" s="46" t="inlineStr">
        <is>
          <t>↓</t>
        </is>
      </c>
      <c r="M31" s="46" t="inlineStr">
        <is>
          <t>target</t>
        </is>
      </c>
      <c r="N31" s="46" t="inlineStr">
        <is>
          <t>↑</t>
        </is>
      </c>
      <c r="O31" s="46" t="inlineStr">
        <is>
          <t>↓</t>
        </is>
      </c>
      <c r="P31" s="46" t="inlineStr">
        <is>
          <t>↓</t>
        </is>
      </c>
      <c r="Q31" s="46" t="inlineStr">
        <is>
          <t>↓</t>
        </is>
      </c>
      <c r="R31" s="46" t="inlineStr">
        <is>
          <t>↓</t>
        </is>
      </c>
      <c r="S31" s="47" t="inlineStr">
        <is>
          <t>↓</t>
        </is>
      </c>
      <c r="T31" s="47" t="inlineStr">
        <is>
          <t>↓</t>
        </is>
      </c>
      <c r="U31" s="47" t="inlineStr">
        <is>
          <t>↓</t>
        </is>
      </c>
      <c r="V31" s="47" t="inlineStr">
        <is>
          <t>target</t>
        </is>
      </c>
      <c r="W31" s="47" t="n"/>
      <c r="X31" s="47" t="n"/>
      <c r="Y31" s="47" t="n"/>
      <c r="Z31" s="46" t="n"/>
      <c r="AA31" s="46" t="n"/>
      <c r="AB31" s="46" t="n"/>
      <c r="AC31" s="46" t="n"/>
      <c r="AD31" s="48" t="n"/>
      <c r="AE31" s="33" t="inlineStr">
        <is>
          <t>Normalized &amp; Unweighted</t>
        </is>
      </c>
      <c r="AF31" s="34" t="n"/>
      <c r="AG31" s="34" t="n"/>
      <c r="AH31" s="34" t="n"/>
      <c r="AI31" s="35" t="n"/>
      <c r="AJ31" s="33" t="inlineStr">
        <is>
          <t>Normalized &amp; Weighted</t>
        </is>
      </c>
      <c r="AK31" s="34" t="n"/>
      <c r="AL31" s="34" t="n"/>
      <c r="AM31" s="34" t="n"/>
      <c r="AN31" s="35" t="n"/>
    </row>
    <row r="32" ht="17" customHeight="1">
      <c r="A32" s="31" t="inlineStr">
        <is>
          <t>ID</t>
        </is>
      </c>
      <c r="B32" s="49" t="inlineStr">
        <is>
          <t>Full Attribute/Goal/Add'l Info</t>
        </is>
      </c>
      <c r="C32" s="49" t="inlineStr">
        <is>
          <t>Short Name</t>
        </is>
      </c>
      <c r="D32" s="50">
        <f>SUM(D33:D44)</f>
        <v/>
      </c>
      <c r="E32" s="51"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3" t="n"/>
      <c r="AE32" s="54" t="inlineStr">
        <is>
          <t>A(low)</t>
        </is>
      </c>
      <c r="AF32" s="55" t="inlineStr">
        <is>
          <t>A(high)</t>
        </is>
      </c>
      <c r="AG32" s="55" t="inlineStr">
        <is>
          <t>A(target)</t>
        </is>
      </c>
      <c r="AH32" s="56" t="inlineStr">
        <is>
          <t>B</t>
        </is>
      </c>
      <c r="AI32" s="56" t="inlineStr">
        <is>
          <t>C</t>
        </is>
      </c>
      <c r="AJ32" s="54" t="inlineStr">
        <is>
          <t>A(low)</t>
        </is>
      </c>
      <c r="AK32" s="55" t="inlineStr">
        <is>
          <t>A(high)</t>
        </is>
      </c>
      <c r="AL32" s="57" t="inlineStr">
        <is>
          <t>A(target)</t>
        </is>
      </c>
      <c r="AM32" s="58" t="inlineStr">
        <is>
          <t>B</t>
        </is>
      </c>
      <c r="AN32" s="59" t="inlineStr">
        <is>
          <t>C</t>
        </is>
      </c>
    </row>
    <row r="33">
      <c r="A33" s="11" t="n">
        <v>1</v>
      </c>
      <c r="B33" s="60" t="inlineStr">
        <is>
          <t>The system shall impose minimal overhead on customer production systems it observes.</t>
        </is>
      </c>
      <c r="C33" s="61" t="inlineStr">
        <is>
          <t>Non-invasiveness</t>
        </is>
      </c>
      <c r="D33" s="62" t="n">
        <v>0.2</v>
      </c>
      <c r="E33" s="63" t="n">
        <v>2</v>
      </c>
      <c r="F33" s="64" t="n">
        <v>-1</v>
      </c>
      <c r="G33" s="64" t="n">
        <v>2</v>
      </c>
      <c r="H33" s="64" t="n">
        <v>1</v>
      </c>
      <c r="I33" s="64" t="n"/>
      <c r="J33" s="64" t="n"/>
      <c r="K33" s="64" t="n"/>
      <c r="L33" s="64" t="n"/>
      <c r="M33" s="64" t="n"/>
      <c r="N33" s="64" t="n"/>
      <c r="O33" s="64" t="n"/>
      <c r="P33" s="64" t="n"/>
      <c r="Q33" s="64" t="n"/>
      <c r="R33" s="64" t="n"/>
      <c r="S33" s="64" t="n"/>
      <c r="T33" s="64" t="n"/>
      <c r="U33" s="64" t="n"/>
      <c r="V33" s="64" t="n"/>
      <c r="W33" s="64" t="n"/>
      <c r="X33" s="64" t="n"/>
      <c r="Y33" s="64" t="n"/>
      <c r="Z33" s="64" t="n"/>
      <c r="AA33" s="64" t="n"/>
      <c r="AB33" s="64" t="n"/>
      <c r="AC33" s="64" t="n"/>
      <c r="AD33" s="65" t="n"/>
      <c r="AE33" s="66" t="n">
        <v>3</v>
      </c>
      <c r="AF33" s="67" t="n">
        <v>5</v>
      </c>
      <c r="AG33" s="67" t="n">
        <v>4</v>
      </c>
      <c r="AH33" s="67" t="n">
        <v>5</v>
      </c>
      <c r="AI33" s="68" t="n">
        <v>5</v>
      </c>
      <c r="AJ33" s="69">
        <f>AE33*$D33</f>
        <v/>
      </c>
      <c r="AK33" s="70">
        <f>AF33*$D33</f>
        <v/>
      </c>
      <c r="AL33" s="70">
        <f>AG33*$D33</f>
        <v/>
      </c>
      <c r="AM33" s="70">
        <f>AH33*$D33</f>
        <v/>
      </c>
      <c r="AN33" s="71">
        <f>AI33*$D33</f>
        <v/>
      </c>
    </row>
    <row r="34">
      <c r="A34" s="11">
        <f>A33+1</f>
        <v/>
      </c>
      <c r="B34" s="72" t="inlineStr">
        <is>
          <t>The system shall deliver recommendations quickly after a metric deviation is detected.</t>
        </is>
      </c>
      <c r="C34" s="73" t="inlineStr">
        <is>
          <t>Feedback Latency</t>
        </is>
      </c>
      <c r="D34" s="74" t="n">
        <v>0.2</v>
      </c>
      <c r="E34" s="75" t="n">
        <v>-2</v>
      </c>
      <c r="F34" s="76" t="n">
        <v>2</v>
      </c>
      <c r="G34" s="76" t="n">
        <v>1</v>
      </c>
      <c r="H34" s="76" t="n">
        <v>-1</v>
      </c>
      <c r="I34" s="76" t="n"/>
      <c r="J34" s="76" t="n">
        <v>1</v>
      </c>
      <c r="K34" s="76" t="n">
        <v>1</v>
      </c>
      <c r="L34" s="76" t="n">
        <v>1</v>
      </c>
      <c r="M34" s="76" t="n"/>
      <c r="N34" s="76" t="n">
        <v>-1</v>
      </c>
      <c r="O34" s="76" t="n">
        <v>-1</v>
      </c>
      <c r="P34" s="76" t="n"/>
      <c r="Q34" s="76" t="n"/>
      <c r="R34" s="76" t="n"/>
      <c r="S34" s="76" t="n"/>
      <c r="T34" s="76" t="n"/>
      <c r="U34" s="76" t="n"/>
      <c r="V34" s="76" t="n"/>
      <c r="W34" s="76" t="n"/>
      <c r="X34" s="76" t="n"/>
      <c r="Y34" s="76" t="n"/>
      <c r="Z34" s="76" t="n"/>
      <c r="AA34" s="76" t="n"/>
      <c r="AB34" s="76" t="n"/>
      <c r="AC34" s="76" t="n"/>
      <c r="AD34" s="77" t="n"/>
      <c r="AE34" s="78" t="n">
        <v>3</v>
      </c>
      <c r="AF34" s="79" t="n">
        <v>4</v>
      </c>
      <c r="AG34" s="79" t="n">
        <v>3</v>
      </c>
      <c r="AH34" s="79" t="n">
        <v>1</v>
      </c>
      <c r="AI34" s="80" t="n">
        <v>1</v>
      </c>
      <c r="AJ34" s="81">
        <f>AE34*$D34</f>
        <v/>
      </c>
      <c r="AK34" s="82">
        <f>AF34*$D34</f>
        <v/>
      </c>
      <c r="AL34" s="82">
        <f>AG34*$D34</f>
        <v/>
      </c>
      <c r="AM34" s="82">
        <f>AH34*$D34</f>
        <v/>
      </c>
      <c r="AN34" s="83">
        <f>AI34*$D34</f>
        <v/>
      </c>
    </row>
    <row r="35">
      <c r="A35" s="11">
        <f>A34+1</f>
        <v/>
      </c>
      <c r="B35" s="84" t="inlineStr">
        <is>
          <t>The system shall back every tech-stack recommendation with a verifiable metric citation.</t>
        </is>
      </c>
      <c r="C35" s="85" t="inlineStr">
        <is>
          <t>Traceback Coverage</t>
        </is>
      </c>
      <c r="D35" s="74" t="n">
        <v>0.2</v>
      </c>
      <c r="E35" s="75" t="n"/>
      <c r="F35" s="76" t="n"/>
      <c r="G35" s="76" t="n"/>
      <c r="H35" s="76" t="n"/>
      <c r="I35" s="76" t="n">
        <v>-1</v>
      </c>
      <c r="J35" s="76" t="n"/>
      <c r="K35" s="76" t="n">
        <v>-1</v>
      </c>
      <c r="L35" s="76" t="n">
        <v>-2</v>
      </c>
      <c r="M35" s="76" t="n">
        <v>2</v>
      </c>
      <c r="N35" s="76" t="n">
        <v>2</v>
      </c>
      <c r="O35" s="76" t="n">
        <v>1</v>
      </c>
      <c r="P35" s="76" t="n"/>
      <c r="Q35" s="76" t="n"/>
      <c r="R35" s="76" t="n"/>
      <c r="S35" s="76" t="n"/>
      <c r="T35" s="76" t="n"/>
      <c r="U35" s="76" t="n"/>
      <c r="V35" s="76" t="n"/>
      <c r="W35" s="76" t="n"/>
      <c r="X35" s="76" t="n"/>
      <c r="Y35" s="76" t="n"/>
      <c r="Z35" s="76" t="n"/>
      <c r="AA35" s="76" t="n"/>
      <c r="AB35" s="76" t="n"/>
      <c r="AC35" s="76" t="n"/>
      <c r="AD35" s="77" t="n"/>
      <c r="AE35" s="78" t="n">
        <v>5</v>
      </c>
      <c r="AF35" s="79" t="n">
        <v>5</v>
      </c>
      <c r="AG35" s="79" t="n">
        <v>5</v>
      </c>
      <c r="AH35" s="79" t="n">
        <v>2</v>
      </c>
      <c r="AI35" s="80" t="n">
        <v>2</v>
      </c>
      <c r="AJ35" s="81">
        <f>AE35*$D35</f>
        <v/>
      </c>
      <c r="AK35" s="82">
        <f>AF35*$D35</f>
        <v/>
      </c>
      <c r="AL35" s="82">
        <f>AG35*$D35</f>
        <v/>
      </c>
      <c r="AM35" s="82">
        <f>AH35*$D35</f>
        <v/>
      </c>
      <c r="AN35" s="83">
        <f>AI35*$D35</f>
        <v/>
      </c>
    </row>
    <row r="36">
      <c r="A36" s="11">
        <f>A35+1</f>
        <v/>
      </c>
      <c r="B36" s="84" t="inlineStr">
        <is>
          <t>The system shall generate a reviewable spec shortly after idea submission.</t>
        </is>
      </c>
      <c r="C36" s="85" t="inlineStr">
        <is>
          <t>Spec Gen Time</t>
        </is>
      </c>
      <c r="D36" s="74" t="n">
        <v>0.16</v>
      </c>
      <c r="E36" s="75" t="n"/>
      <c r="F36" s="76" t="n"/>
      <c r="G36" s="76" t="n"/>
      <c r="H36" s="76" t="n"/>
      <c r="I36" s="76" t="n">
        <v>1</v>
      </c>
      <c r="J36" s="76" t="n">
        <v>2</v>
      </c>
      <c r="K36" s="76" t="n">
        <v>2</v>
      </c>
      <c r="L36" s="76" t="n">
        <v>1</v>
      </c>
      <c r="M36" s="76" t="n"/>
      <c r="N36" s="76" t="n">
        <v>-1</v>
      </c>
      <c r="O36" s="76" t="n"/>
      <c r="P36" s="76" t="n">
        <v>2</v>
      </c>
      <c r="Q36" s="76" t="n">
        <v>1</v>
      </c>
      <c r="R36" s="76" t="n"/>
      <c r="S36" s="76" t="n"/>
      <c r="T36" s="76" t="n"/>
      <c r="U36" s="76" t="n"/>
      <c r="V36" s="76" t="n"/>
      <c r="W36" s="76" t="n"/>
      <c r="X36" s="76" t="n"/>
      <c r="Y36" s="76" t="n"/>
      <c r="Z36" s="76" t="n"/>
      <c r="AA36" s="76" t="n"/>
      <c r="AB36" s="76" t="n"/>
      <c r="AC36" s="76" t="n"/>
      <c r="AD36" s="77" t="n"/>
      <c r="AE36" s="78" t="n">
        <v>2</v>
      </c>
      <c r="AF36" s="79" t="n">
        <v>4</v>
      </c>
      <c r="AG36" s="79" t="n">
        <v>3</v>
      </c>
      <c r="AH36" s="79" t="n">
        <v>2</v>
      </c>
      <c r="AI36" s="80" t="n">
        <v>3</v>
      </c>
      <c r="AJ36" s="81">
        <f>AE36*$D36</f>
        <v/>
      </c>
      <c r="AK36" s="82">
        <f>AF36*$D36</f>
        <v/>
      </c>
      <c r="AL36" s="82">
        <f>AG36*$D36</f>
        <v/>
      </c>
      <c r="AM36" s="82">
        <f>AH36*$D36</f>
        <v/>
      </c>
      <c r="AN36" s="83">
        <f>AI36*$D36</f>
        <v/>
      </c>
    </row>
    <row r="37">
      <c r="A37" s="11">
        <f>A36+1</f>
        <v/>
      </c>
      <c r="B37" s="84" t="inlineStr">
        <is>
          <t>The system shall emit the CLI bundle quickly after spec approval.</t>
        </is>
      </c>
      <c r="C37" s="85" t="inlineStr">
        <is>
          <t>CLI Emission</t>
        </is>
      </c>
      <c r="D37" s="74" t="n">
        <v>0.12</v>
      </c>
      <c r="E37" s="75" t="n"/>
      <c r="F37" s="76" t="n"/>
      <c r="G37" s="76" t="n"/>
      <c r="H37" s="76" t="n"/>
      <c r="I37" s="76" t="n"/>
      <c r="J37" s="76" t="n"/>
      <c r="K37" s="76" t="n"/>
      <c r="L37" s="76" t="n"/>
      <c r="M37" s="76" t="n"/>
      <c r="N37" s="76" t="n"/>
      <c r="O37" s="76" t="n"/>
      <c r="P37" s="76" t="n">
        <v>1</v>
      </c>
      <c r="Q37" s="76" t="n"/>
      <c r="R37" s="76" t="n">
        <v>2</v>
      </c>
      <c r="S37" s="76" t="n"/>
      <c r="T37" s="76" t="n"/>
      <c r="U37" s="76" t="n">
        <v>-1</v>
      </c>
      <c r="V37" s="76" t="n"/>
      <c r="W37" s="76" t="n"/>
      <c r="X37" s="76" t="n"/>
      <c r="Y37" s="76" t="n"/>
      <c r="Z37" s="76" t="n"/>
      <c r="AA37" s="76" t="n"/>
      <c r="AB37" s="76" t="n"/>
      <c r="AC37" s="76" t="n"/>
      <c r="AD37" s="77" t="n"/>
      <c r="AE37" s="78" t="n">
        <v>3</v>
      </c>
      <c r="AF37" s="79" t="n">
        <v>5</v>
      </c>
      <c r="AG37" s="79" t="n">
        <v>4</v>
      </c>
      <c r="AH37" s="79" t="n">
        <v>1</v>
      </c>
      <c r="AI37" s="80" t="n">
        <v>1</v>
      </c>
      <c r="AJ37" s="81">
        <f>AE37*$D37</f>
        <v/>
      </c>
      <c r="AK37" s="82">
        <f>AF37*$D37</f>
        <v/>
      </c>
      <c r="AL37" s="82">
        <f>AG37*$D37</f>
        <v/>
      </c>
      <c r="AM37" s="82">
        <f>AH37*$D37</f>
        <v/>
      </c>
      <c r="AN37" s="83">
        <f>AI37*$D37</f>
        <v/>
      </c>
    </row>
    <row r="38">
      <c r="A38" s="11">
        <f>A37+1</f>
        <v/>
      </c>
      <c r="B38" s="84" t="inlineStr">
        <is>
          <t>The system shall feel responsive during founder intake conversation.</t>
        </is>
      </c>
      <c r="C38" s="85" t="inlineStr">
        <is>
          <t>Intake Response</t>
        </is>
      </c>
      <c r="D38" s="74" t="n">
        <v>0.12</v>
      </c>
      <c r="E38" s="75" t="n"/>
      <c r="F38" s="76" t="n"/>
      <c r="G38" s="76" t="n"/>
      <c r="H38" s="76" t="n"/>
      <c r="I38" s="76" t="n">
        <v>-1</v>
      </c>
      <c r="J38" s="76" t="n">
        <v>1</v>
      </c>
      <c r="K38" s="76" t="n">
        <v>2</v>
      </c>
      <c r="L38" s="76" t="n">
        <v>2</v>
      </c>
      <c r="M38" s="76" t="n"/>
      <c r="N38" s="76" t="n"/>
      <c r="O38" s="76" t="n"/>
      <c r="P38" s="76" t="n"/>
      <c r="Q38" s="76" t="n"/>
      <c r="R38" s="76" t="n"/>
      <c r="S38" s="76" t="n">
        <v>2</v>
      </c>
      <c r="T38" s="76" t="n">
        <v>2</v>
      </c>
      <c r="U38" s="76" t="n"/>
      <c r="V38" s="76" t="n"/>
      <c r="W38" s="76" t="n"/>
      <c r="X38" s="76" t="n"/>
      <c r="Y38" s="76" t="n"/>
      <c r="Z38" s="76" t="n"/>
      <c r="AA38" s="76" t="n"/>
      <c r="AB38" s="76" t="n"/>
      <c r="AC38" s="76" t="n"/>
      <c r="AD38" s="77" t="n"/>
      <c r="AE38" s="78" t="n">
        <v>2</v>
      </c>
      <c r="AF38" s="79" t="n">
        <v>4</v>
      </c>
      <c r="AG38" s="79" t="n">
        <v>3</v>
      </c>
      <c r="AH38" s="79" t="n">
        <v>2</v>
      </c>
      <c r="AI38" s="80" t="n">
        <v>5</v>
      </c>
      <c r="AJ38" s="81">
        <f>AE38*$D38</f>
        <v/>
      </c>
      <c r="AK38" s="82">
        <f>AF38*$D38</f>
        <v/>
      </c>
      <c r="AL38" s="82">
        <f>AG38*$D38</f>
        <v/>
      </c>
      <c r="AM38" s="82">
        <f>AH38*$D38</f>
        <v/>
      </c>
      <c r="AN38" s="83">
        <f>AI38*$D38</f>
        <v/>
      </c>
    </row>
    <row r="39">
      <c r="A39" s="11">
        <f>A38+1</f>
        <v/>
      </c>
      <c r="B39" s="84" t="n"/>
      <c r="C39" s="85" t="n"/>
      <c r="D39" s="74" t="n"/>
      <c r="E39" s="75" t="n"/>
      <c r="F39" s="76" t="n"/>
      <c r="G39" s="76" t="n"/>
      <c r="H39" s="76" t="n"/>
      <c r="I39" s="76" t="n"/>
      <c r="J39" s="76" t="n"/>
      <c r="K39" s="76" t="n"/>
      <c r="L39" s="76" t="n"/>
      <c r="M39" s="76" t="n"/>
      <c r="N39" s="76" t="n"/>
      <c r="O39" s="76" t="n"/>
      <c r="P39" s="76" t="n"/>
      <c r="Q39" s="76" t="n"/>
      <c r="R39" s="76" t="n"/>
      <c r="S39" s="76" t="n"/>
      <c r="T39" s="76" t="n"/>
      <c r="U39" s="76" t="n"/>
      <c r="V39" s="76" t="n"/>
      <c r="W39" s="76" t="n"/>
      <c r="X39" s="76" t="n"/>
      <c r="Y39" s="76" t="n"/>
      <c r="Z39" s="76" t="n"/>
      <c r="AA39" s="76" t="n"/>
      <c r="AB39" s="76" t="n"/>
      <c r="AC39" s="76" t="n"/>
      <c r="AD39" s="77" t="n"/>
      <c r="AE39" s="78" t="n">
        <v>0</v>
      </c>
      <c r="AF39" s="79" t="n">
        <v>0</v>
      </c>
      <c r="AG39" s="79" t="n"/>
      <c r="AH39" s="79" t="n">
        <v>0</v>
      </c>
      <c r="AI39" s="80" t="n">
        <v>0</v>
      </c>
      <c r="AJ39" s="81">
        <f>AE39*$D39</f>
        <v/>
      </c>
      <c r="AK39" s="82">
        <f>AF39*$D39</f>
        <v/>
      </c>
      <c r="AL39" s="82" t="n"/>
      <c r="AM39" s="82">
        <f>AH39*$D39</f>
        <v/>
      </c>
      <c r="AN39" s="83">
        <f>AI39*$D39</f>
        <v/>
      </c>
    </row>
    <row r="40">
      <c r="A40" s="11">
        <f>A39+1</f>
        <v/>
      </c>
      <c r="B40" s="84" t="n"/>
      <c r="C40" s="85" t="n"/>
      <c r="D40" s="74" t="n"/>
      <c r="E40" s="75" t="n"/>
      <c r="F40" s="76" t="n"/>
      <c r="G40" s="76" t="n"/>
      <c r="H40" s="76" t="n"/>
      <c r="I40" s="76" t="n"/>
      <c r="J40" s="76" t="n"/>
      <c r="K40" s="76" t="n"/>
      <c r="L40" s="76" t="n"/>
      <c r="M40" s="76" t="n"/>
      <c r="N40" s="76" t="n"/>
      <c r="O40" s="76" t="n"/>
      <c r="P40" s="76" t="n"/>
      <c r="Q40" s="76" t="n"/>
      <c r="R40" s="76" t="n"/>
      <c r="S40" s="76" t="n"/>
      <c r="T40" s="76" t="n"/>
      <c r="U40" s="76" t="n"/>
      <c r="V40" s="76" t="n"/>
      <c r="W40" s="76" t="n"/>
      <c r="X40" s="76" t="n"/>
      <c r="Y40" s="76" t="n"/>
      <c r="Z40" s="76" t="n"/>
      <c r="AA40" s="76" t="n"/>
      <c r="AB40" s="76" t="n"/>
      <c r="AC40" s="76" t="n"/>
      <c r="AD40" s="77" t="n"/>
      <c r="AE40" s="78" t="n">
        <v>0</v>
      </c>
      <c r="AF40" s="79" t="n">
        <v>0</v>
      </c>
      <c r="AG40" s="79" t="n"/>
      <c r="AH40" s="79" t="n">
        <v>0</v>
      </c>
      <c r="AI40" s="80" t="n">
        <v>0</v>
      </c>
      <c r="AJ40" s="81">
        <f>AE40*$D40</f>
        <v/>
      </c>
      <c r="AK40" s="82">
        <f>AF40*$D40</f>
        <v/>
      </c>
      <c r="AL40" s="82" t="n"/>
      <c r="AM40" s="82">
        <f>AH40*$D40</f>
        <v/>
      </c>
      <c r="AN40" s="83">
        <f>AI40*$D40</f>
        <v/>
      </c>
    </row>
    <row r="41">
      <c r="A41" s="11">
        <f>A40+1</f>
        <v/>
      </c>
      <c r="B41" s="84" t="n"/>
      <c r="C41" s="85" t="n"/>
      <c r="D41" s="74" t="n"/>
      <c r="E41" s="75" t="n"/>
      <c r="F41" s="76" t="n"/>
      <c r="G41" s="76" t="n"/>
      <c r="H41" s="76" t="n"/>
      <c r="I41" s="76" t="n"/>
      <c r="J41" s="76" t="n"/>
      <c r="K41" s="76" t="n"/>
      <c r="L41" s="76" t="n"/>
      <c r="M41" s="76" t="n"/>
      <c r="N41" s="76" t="n"/>
      <c r="O41" s="76" t="n"/>
      <c r="P41" s="76" t="n"/>
      <c r="Q41" s="76" t="n"/>
      <c r="R41" s="76" t="n"/>
      <c r="S41" s="76" t="n"/>
      <c r="T41" s="76" t="n"/>
      <c r="U41" s="76" t="n"/>
      <c r="V41" s="76" t="n"/>
      <c r="W41" s="76" t="n"/>
      <c r="X41" s="76" t="n"/>
      <c r="Y41" s="76" t="n"/>
      <c r="Z41" s="76" t="n"/>
      <c r="AA41" s="76" t="n"/>
      <c r="AB41" s="76" t="n"/>
      <c r="AC41" s="76" t="n"/>
      <c r="AD41" s="77" t="n"/>
      <c r="AE41" s="78" t="n">
        <v>0</v>
      </c>
      <c r="AF41" s="79" t="n">
        <v>0</v>
      </c>
      <c r="AG41" s="79" t="n"/>
      <c r="AH41" s="79" t="n">
        <v>0</v>
      </c>
      <c r="AI41" s="80" t="n">
        <v>0</v>
      </c>
      <c r="AJ41" s="81">
        <f>AE41*$D41</f>
        <v/>
      </c>
      <c r="AK41" s="82">
        <f>AF41*$D41</f>
        <v/>
      </c>
      <c r="AL41" s="82" t="n"/>
      <c r="AM41" s="82">
        <f>AH41*$D41</f>
        <v/>
      </c>
      <c r="AN41" s="83">
        <f>AI41*$D41</f>
        <v/>
      </c>
    </row>
    <row r="42">
      <c r="A42" s="11">
        <f>A41+1</f>
        <v/>
      </c>
      <c r="B42" s="84" t="n"/>
      <c r="C42" s="85" t="n"/>
      <c r="D42" s="74" t="n"/>
      <c r="E42" s="75" t="n"/>
      <c r="F42" s="76" t="n"/>
      <c r="G42" s="76" t="n"/>
      <c r="H42" s="76" t="n"/>
      <c r="I42" s="76" t="n"/>
      <c r="J42" s="76" t="n"/>
      <c r="K42" s="76" t="n"/>
      <c r="L42" s="76" t="n"/>
      <c r="M42" s="76" t="n"/>
      <c r="N42" s="76" t="n"/>
      <c r="O42" s="76" t="n"/>
      <c r="P42" s="76" t="n"/>
      <c r="Q42" s="76" t="n"/>
      <c r="R42" s="76" t="n"/>
      <c r="S42" s="76" t="n"/>
      <c r="T42" s="76" t="n"/>
      <c r="U42" s="76" t="n"/>
      <c r="V42" s="76" t="n"/>
      <c r="W42" s="76" t="n"/>
      <c r="X42" s="76" t="n"/>
      <c r="Y42" s="76" t="n"/>
      <c r="Z42" s="76" t="n"/>
      <c r="AA42" s="76" t="n"/>
      <c r="AB42" s="76" t="n"/>
      <c r="AC42" s="76" t="n"/>
      <c r="AD42" s="77" t="n"/>
      <c r="AE42" s="78" t="n">
        <v>0</v>
      </c>
      <c r="AF42" s="79" t="n">
        <v>0</v>
      </c>
      <c r="AG42" s="79" t="n"/>
      <c r="AH42" s="79" t="n">
        <v>0</v>
      </c>
      <c r="AI42" s="80" t="n">
        <v>0</v>
      </c>
      <c r="AJ42" s="81">
        <f>AE42*$D42</f>
        <v/>
      </c>
      <c r="AK42" s="82">
        <f>AF42*$D42</f>
        <v/>
      </c>
      <c r="AL42" s="82" t="n"/>
      <c r="AM42" s="82">
        <f>AH42*$D42</f>
        <v/>
      </c>
      <c r="AN42" s="83">
        <f>AI42*$D42</f>
        <v/>
      </c>
    </row>
    <row r="43">
      <c r="A43" s="11">
        <f>A42+1</f>
        <v/>
      </c>
      <c r="B43" s="84" t="n"/>
      <c r="C43" s="85" t="n"/>
      <c r="D43" s="74" t="n"/>
      <c r="E43" s="75" t="n"/>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6" t="n"/>
      <c r="AA43" s="76" t="n"/>
      <c r="AB43" s="76" t="n"/>
      <c r="AC43" s="76" t="n"/>
      <c r="AD43" s="77" t="n"/>
      <c r="AE43" s="78" t="n">
        <v>0</v>
      </c>
      <c r="AF43" s="79" t="n">
        <v>0</v>
      </c>
      <c r="AG43" s="79" t="n"/>
      <c r="AH43" s="79" t="n">
        <v>0</v>
      </c>
      <c r="AI43" s="80" t="n">
        <v>0</v>
      </c>
      <c r="AJ43" s="81">
        <f>AE43*$D43</f>
        <v/>
      </c>
      <c r="AK43" s="82">
        <f>AF43*$D43</f>
        <v/>
      </c>
      <c r="AL43" s="82" t="n"/>
      <c r="AM43" s="82">
        <f>AH43*$D43</f>
        <v/>
      </c>
      <c r="AN43" s="83">
        <f>AI43*$D43</f>
        <v/>
      </c>
    </row>
    <row r="44" ht="17" customHeight="1">
      <c r="A44" s="11">
        <f>A43+1</f>
        <v/>
      </c>
      <c r="B44" s="86" t="n"/>
      <c r="C44" s="87" t="n"/>
      <c r="D44" s="88" t="n"/>
      <c r="E44" s="89" t="n"/>
      <c r="F44" s="90" t="n"/>
      <c r="G44" s="90" t="n"/>
      <c r="H44" s="90" t="n"/>
      <c r="I44" s="90" t="n"/>
      <c r="J44" s="90" t="n"/>
      <c r="K44" s="90" t="n"/>
      <c r="L44" s="90" t="n"/>
      <c r="M44" s="90" t="n"/>
      <c r="N44" s="90" t="n"/>
      <c r="O44" s="90" t="n"/>
      <c r="P44" s="90" t="n"/>
      <c r="Q44" s="90" t="n"/>
      <c r="R44" s="90" t="n"/>
      <c r="S44" s="90" t="n"/>
      <c r="T44" s="90" t="n"/>
      <c r="U44" s="90" t="n"/>
      <c r="V44" s="90" t="n"/>
      <c r="W44" s="90" t="n"/>
      <c r="X44" s="90" t="n"/>
      <c r="Y44" s="90" t="n"/>
      <c r="Z44" s="90" t="n"/>
      <c r="AA44" s="90" t="n"/>
      <c r="AB44" s="90" t="n"/>
      <c r="AC44" s="90" t="n"/>
      <c r="AD44" s="91" t="n"/>
      <c r="AE44" s="92" t="n">
        <v>0</v>
      </c>
      <c r="AF44" s="93" t="n">
        <v>0</v>
      </c>
      <c r="AG44" s="93" t="n"/>
      <c r="AH44" s="93" t="n">
        <v>0</v>
      </c>
      <c r="AI44" s="94" t="n">
        <v>0</v>
      </c>
      <c r="AJ44" s="95">
        <f>AE44*$D44</f>
        <v/>
      </c>
      <c r="AK44" s="96">
        <f>AF44*$D44</f>
        <v/>
      </c>
      <c r="AL44" s="96" t="n"/>
      <c r="AM44" s="96">
        <f>AH44*$D44</f>
        <v/>
      </c>
      <c r="AN44" s="97">
        <f>AI44*$D44</f>
        <v/>
      </c>
    </row>
    <row r="45" ht="17" customHeight="1">
      <c r="B45" s="31" t="inlineStr">
        <is>
          <t>Competitor Legend</t>
        </is>
      </c>
      <c r="C45" s="98" t="inlineStr">
        <is>
          <t>Measurement Units</t>
        </is>
      </c>
      <c r="D45" s="99" t="n"/>
      <c r="E45" s="100" t="inlineStr">
        <is>
          <t>probes/min</t>
        </is>
      </c>
      <c r="F45" s="100" t="inlineStr">
        <is>
          <t>min</t>
        </is>
      </c>
      <c r="G45" s="100" t="inlineStr">
        <is>
          <t>KB</t>
        </is>
      </c>
      <c r="H45" s="100" t="inlineStr">
        <is>
          <t>events/batch</t>
        </is>
      </c>
      <c r="I45" s="100" t="inlineStr">
        <is>
          <t>scale 1-3</t>
        </is>
      </c>
      <c r="J45" s="100" t="inlineStr">
        <is>
          <t>agents</t>
        </is>
      </c>
      <c r="K45" s="100" t="inlineStr">
        <is>
          <t>%</t>
        </is>
      </c>
      <c r="L45" s="100" t="inlineStr">
        <is>
          <t>tokens</t>
        </is>
      </c>
      <c r="M45" s="100" t="inlineStr">
        <is>
          <t>hours</t>
        </is>
      </c>
      <c r="N45" s="100" t="inlineStr">
        <is>
          <t>%</t>
        </is>
      </c>
      <c r="O45" s="100" t="inlineStr">
        <is>
          <t>days</t>
        </is>
      </c>
      <c r="P45" s="100" t="inlineStr">
        <is>
          <t>formats</t>
        </is>
      </c>
      <c r="Q45" s="100" t="inlineStr">
        <is>
          <t>steps</t>
        </is>
      </c>
      <c r="R45" s="100" t="inlineStr">
        <is>
          <t>MB</t>
        </is>
      </c>
      <c r="S45" s="100" t="inlineStr">
        <is>
          <t>ms</t>
        </is>
      </c>
      <c r="T45" s="100" t="inlineStr">
        <is>
          <t>ms</t>
        </is>
      </c>
      <c r="U45" s="100" t="inlineStr">
        <is>
          <t>days</t>
        </is>
      </c>
      <c r="V45" s="100" t="inlineStr">
        <is>
          <t>days</t>
        </is>
      </c>
      <c r="W45" s="100" t="inlineStr">
        <is>
          <t xml:space="preserve"> </t>
        </is>
      </c>
      <c r="X45" s="100" t="inlineStr">
        <is>
          <t xml:space="preserve"> </t>
        </is>
      </c>
      <c r="Y45" s="100" t="inlineStr">
        <is>
          <t xml:space="preserve"> </t>
        </is>
      </c>
      <c r="Z45" s="100" t="inlineStr">
        <is>
          <t xml:space="preserve"> </t>
        </is>
      </c>
      <c r="AA45" s="100" t="inlineStr">
        <is>
          <t xml:space="preserve"> </t>
        </is>
      </c>
      <c r="AB45" s="100" t="inlineStr">
        <is>
          <t xml:space="preserve"> </t>
        </is>
      </c>
      <c r="AC45" s="100" t="inlineStr">
        <is>
          <t xml:space="preserve"> </t>
        </is>
      </c>
      <c r="AD45" s="101" t="inlineStr">
        <is>
          <t xml:space="preserve"> </t>
        </is>
      </c>
      <c r="AI45" s="102" t="n"/>
      <c r="AJ45" s="102" t="n"/>
      <c r="AK45" s="102" t="n"/>
      <c r="AL45" s="102" t="n"/>
      <c r="AN45" s="103" t="n"/>
    </row>
    <row r="46">
      <c r="B46" s="9" t="inlineStr">
        <is>
          <t>B</t>
        </is>
      </c>
      <c r="C46" s="104" t="inlineStr">
        <is>
          <t>Devin (Cognition)</t>
        </is>
      </c>
      <c r="D46" s="105" t="n"/>
      <c r="E46" s="19" t="inlineStr">
        <is>
          <t>N/A</t>
        </is>
      </c>
      <c r="F46" s="19" t="inlineStr">
        <is>
          <t>N/A</t>
        </is>
      </c>
      <c r="G46" s="19" t="inlineStr">
        <is>
          <t>N/A</t>
        </is>
      </c>
      <c r="H46" s="19" t="inlineStr">
        <is>
          <t>N/A</t>
        </is>
      </c>
      <c r="I46" s="19" t="inlineStr">
        <is>
          <t>1 (per-org) Est.</t>
        </is>
      </c>
      <c r="J46" s="19" t="inlineStr">
        <is>
          <t>3 Est.</t>
        </is>
      </c>
      <c r="K46" s="19" t="inlineStr">
        <is>
          <t>50 Est.</t>
        </is>
      </c>
      <c r="L46" s="19" t="inlineStr">
        <is>
          <t>16000 Est.</t>
        </is>
      </c>
      <c r="M46" s="19" t="inlineStr">
        <is>
          <t>N/A</t>
        </is>
      </c>
      <c r="N46" s="19" t="inlineStr">
        <is>
          <t>30 Est.</t>
        </is>
      </c>
      <c r="O46" s="19" t="inlineStr">
        <is>
          <t>N/A</t>
        </is>
      </c>
      <c r="P46" s="19" t="inlineStr">
        <is>
          <t>N/A</t>
        </is>
      </c>
      <c r="Q46" s="19" t="inlineStr">
        <is>
          <t>N/A</t>
        </is>
      </c>
      <c r="R46" s="19" t="inlineStr">
        <is>
          <t>N/A</t>
        </is>
      </c>
      <c r="S46" s="19" t="inlineStr">
        <is>
          <t>3000 Est.</t>
        </is>
      </c>
      <c r="T46" s="19" t="inlineStr">
        <is>
          <t>100 Est.</t>
        </is>
      </c>
      <c r="U46" s="19" t="inlineStr">
        <is>
          <t>N/A</t>
        </is>
      </c>
      <c r="V46" s="19" t="inlineStr">
        <is>
          <t>N/A</t>
        </is>
      </c>
      <c r="W46" s="19" t="inlineStr">
        <is>
          <t xml:space="preserve"> </t>
        </is>
      </c>
      <c r="X46" s="19" t="inlineStr">
        <is>
          <t xml:space="preserve"> </t>
        </is>
      </c>
      <c r="Y46" s="19" t="inlineStr">
        <is>
          <t xml:space="preserve"> </t>
        </is>
      </c>
      <c r="Z46" s="19" t="inlineStr">
        <is>
          <t xml:space="preserve"> </t>
        </is>
      </c>
      <c r="AA46" s="19" t="inlineStr">
        <is>
          <t xml:space="preserve"> </t>
        </is>
      </c>
      <c r="AB46" s="106" t="inlineStr">
        <is>
          <t xml:space="preserve"> </t>
        </is>
      </c>
      <c r="AC46" s="106" t="inlineStr">
        <is>
          <t xml:space="preserve"> </t>
        </is>
      </c>
      <c r="AD46" s="107" t="inlineStr">
        <is>
          <t xml:space="preserve"> </t>
        </is>
      </c>
    </row>
    <row r="47">
      <c r="B47" s="9" t="inlineStr">
        <is>
          <t>C</t>
        </is>
      </c>
      <c r="C47" s="104" t="inlineStr">
        <is>
          <t>Cursor (Anysphere)</t>
        </is>
      </c>
      <c r="D47" s="105" t="n"/>
      <c r="E47" s="19" t="inlineStr">
        <is>
          <t>N/A</t>
        </is>
      </c>
      <c r="F47" s="19" t="inlineStr">
        <is>
          <t>N/A</t>
        </is>
      </c>
      <c r="G47" s="19" t="inlineStr">
        <is>
          <t>N/A</t>
        </is>
      </c>
      <c r="H47" s="19" t="inlineStr">
        <is>
          <t>N/A</t>
        </is>
      </c>
      <c r="I47" s="19" t="inlineStr">
        <is>
          <t>1 (per-org) Est.</t>
        </is>
      </c>
      <c r="J47" s="19" t="inlineStr">
        <is>
          <t>1 Est.</t>
        </is>
      </c>
      <c r="K47" s="19" t="inlineStr">
        <is>
          <t>60 Est.</t>
        </is>
      </c>
      <c r="L47" s="19" t="inlineStr">
        <is>
          <t>4000 Est.</t>
        </is>
      </c>
      <c r="M47" s="19" t="inlineStr">
        <is>
          <t>N/A</t>
        </is>
      </c>
      <c r="N47" s="19" t="inlineStr">
        <is>
          <t>20 Est.</t>
        </is>
      </c>
      <c r="O47" s="19" t="inlineStr">
        <is>
          <t>N/A</t>
        </is>
      </c>
      <c r="P47" s="19" t="inlineStr">
        <is>
          <t>N/A</t>
        </is>
      </c>
      <c r="Q47" s="19" t="inlineStr">
        <is>
          <t>N/A</t>
        </is>
      </c>
      <c r="R47" s="19" t="inlineStr">
        <is>
          <t>N/A</t>
        </is>
      </c>
      <c r="S47" s="19" t="inlineStr">
        <is>
          <t>800 Est.</t>
        </is>
      </c>
      <c r="T47" s="19" t="inlineStr">
        <is>
          <t>20 Est.</t>
        </is>
      </c>
      <c r="U47" s="19" t="inlineStr">
        <is>
          <t>N/A</t>
        </is>
      </c>
      <c r="V47" s="19" t="inlineStr">
        <is>
          <t>N/A</t>
        </is>
      </c>
      <c r="W47" s="19" t="inlineStr">
        <is>
          <t xml:space="preserve"> </t>
        </is>
      </c>
      <c r="X47" s="19" t="inlineStr">
        <is>
          <t xml:space="preserve"> </t>
        </is>
      </c>
      <c r="Y47" s="19" t="inlineStr">
        <is>
          <t xml:space="preserve"> </t>
        </is>
      </c>
      <c r="Z47" s="19" t="inlineStr">
        <is>
          <t xml:space="preserve"> </t>
        </is>
      </c>
      <c r="AA47" s="19" t="inlineStr">
        <is>
          <t xml:space="preserve"> </t>
        </is>
      </c>
      <c r="AB47" s="19" t="inlineStr">
        <is>
          <t xml:space="preserve"> </t>
        </is>
      </c>
      <c r="AC47" s="19" t="inlineStr">
        <is>
          <t xml:space="preserve"> </t>
        </is>
      </c>
      <c r="AD47" s="107" t="inlineStr">
        <is>
          <t xml:space="preserve"> </t>
        </is>
      </c>
      <c r="AH47" s="14" t="n"/>
    </row>
    <row r="48">
      <c r="B48" s="9" t="n"/>
      <c r="C48" s="104" t="inlineStr">
        <is>
          <t>(External) Requirement Thresholds</t>
        </is>
      </c>
      <c r="D48" s="105" t="n"/>
      <c r="E48" s="19" t="inlineStr">
        <is>
          <t>≤60/min</t>
        </is>
      </c>
      <c r="F48" s="19" t="inlineStr">
        <is>
          <t>≤60 min</t>
        </is>
      </c>
      <c r="G48" s="19" t="inlineStr">
        <is>
          <t>—</t>
        </is>
      </c>
      <c r="H48" s="19" t="inlineStr">
        <is>
          <t>—</t>
        </is>
      </c>
      <c r="I48" s="19" t="inlineStr">
        <is>
          <t>≥2</t>
        </is>
      </c>
      <c r="J48" s="19" t="inlineStr">
        <is>
          <t>—</t>
        </is>
      </c>
      <c r="K48" s="19" t="inlineStr">
        <is>
          <t>—</t>
        </is>
      </c>
      <c r="L48" s="19" t="inlineStr">
        <is>
          <t>≤200000 (Sonnet)</t>
        </is>
      </c>
      <c r="M48" s="19" t="inlineStr">
        <is>
          <t>—</t>
        </is>
      </c>
      <c r="N48" s="19" t="inlineStr">
        <is>
          <t>≥100</t>
        </is>
      </c>
      <c r="O48" s="19" t="inlineStr">
        <is>
          <t>≤30</t>
        </is>
      </c>
      <c r="P48" s="19" t="inlineStr">
        <is>
          <t>≥1</t>
        </is>
      </c>
      <c r="Q48" s="19" t="inlineStr">
        <is>
          <t>—</t>
        </is>
      </c>
      <c r="R48" s="19" t="inlineStr">
        <is>
          <t>≤50</t>
        </is>
      </c>
      <c r="S48" s="19" t="inlineStr">
        <is>
          <t>≤2000</t>
        </is>
      </c>
      <c r="T48" s="19" t="inlineStr">
        <is>
          <t>—</t>
        </is>
      </c>
      <c r="U48" s="19" t="inlineStr">
        <is>
          <t>≤90</t>
        </is>
      </c>
      <c r="V48" s="19" t="inlineStr">
        <is>
          <t>≥30</t>
        </is>
      </c>
      <c r="W48" s="19" t="inlineStr">
        <is>
          <t xml:space="preserve"> </t>
        </is>
      </c>
      <c r="X48" s="19" t="inlineStr">
        <is>
          <t xml:space="preserve"> </t>
        </is>
      </c>
      <c r="Y48" s="19" t="inlineStr">
        <is>
          <t xml:space="preserve"> </t>
        </is>
      </c>
      <c r="Z48" s="19" t="inlineStr">
        <is>
          <t xml:space="preserve"> </t>
        </is>
      </c>
      <c r="AA48" s="19" t="inlineStr">
        <is>
          <t xml:space="preserve"> </t>
        </is>
      </c>
      <c r="AB48" s="19" t="inlineStr">
        <is>
          <t xml:space="preserve"> </t>
        </is>
      </c>
      <c r="AC48" s="19" t="inlineStr">
        <is>
          <t xml:space="preserve"> </t>
        </is>
      </c>
      <c r="AD48" s="107" t="inlineStr">
        <is>
          <t xml:space="preserve"> </t>
        </is>
      </c>
      <c r="AH48" s="14" t="n"/>
    </row>
    <row r="49">
      <c r="B49" s="9" t="n"/>
      <c r="C49" s="108" t="inlineStr">
        <is>
          <t>Targets</t>
        </is>
      </c>
      <c r="D49" s="105" t="n"/>
      <c r="E49" s="109" t="n">
        <v>6</v>
      </c>
      <c r="F49" s="109" t="n">
        <v>60</v>
      </c>
      <c r="G49" s="109" t="n">
        <v>4</v>
      </c>
      <c r="H49" s="109" t="n">
        <v>50</v>
      </c>
      <c r="I49" s="109" t="n">
        <v>2</v>
      </c>
      <c r="J49" s="109" t="n">
        <v>5</v>
      </c>
      <c r="K49" s="109" t="n">
        <v>70</v>
      </c>
      <c r="L49" s="109" t="n">
        <v>8000</v>
      </c>
      <c r="M49" s="109" t="n">
        <v>24</v>
      </c>
      <c r="N49" s="109" t="n">
        <v>100</v>
      </c>
      <c r="O49" s="109" t="n">
        <v>7</v>
      </c>
      <c r="P49" s="109" t="n">
        <v>1</v>
      </c>
      <c r="Q49" s="109" t="n">
        <v>5</v>
      </c>
      <c r="R49" s="109" t="n">
        <v>5</v>
      </c>
      <c r="S49" s="109" t="n">
        <v>2000</v>
      </c>
      <c r="T49" s="109" t="n">
        <v>50</v>
      </c>
      <c r="U49" s="109" t="n">
        <v>90</v>
      </c>
      <c r="V49" s="109" t="n">
        <v>90</v>
      </c>
      <c r="W49" s="109" t="inlineStr">
        <is>
          <t xml:space="preserve"> </t>
        </is>
      </c>
      <c r="X49" s="109" t="inlineStr">
        <is>
          <t xml:space="preserve"> </t>
        </is>
      </c>
      <c r="Y49" s="109" t="inlineStr">
        <is>
          <t xml:space="preserve"> </t>
        </is>
      </c>
      <c r="Z49" s="109" t="inlineStr">
        <is>
          <t xml:space="preserve"> </t>
        </is>
      </c>
      <c r="AA49" s="109" t="inlineStr">
        <is>
          <t xml:space="preserve"> </t>
        </is>
      </c>
      <c r="AB49" s="109" t="inlineStr">
        <is>
          <t xml:space="preserve"> </t>
        </is>
      </c>
      <c r="AC49" s="109" t="inlineStr">
        <is>
          <t xml:space="preserve"> </t>
        </is>
      </c>
      <c r="AD49" s="110" t="inlineStr">
        <is>
          <t xml:space="preserve"> </t>
        </is>
      </c>
      <c r="AH49" s="14" t="n"/>
    </row>
    <row r="50">
      <c r="B50" s="9" t="n"/>
      <c r="C50" s="104" t="inlineStr">
        <is>
          <t>Imputed Importance</t>
        </is>
      </c>
      <c r="D50" s="105" t="n"/>
      <c r="E50" s="111">
        <f>SUMPRODUCT((ABS(E33:E44)), $D33:$D44)</f>
        <v/>
      </c>
      <c r="F50" s="111">
        <f>SUMPRODUCT((ABS(F33:F44)), $D33:$D44)</f>
        <v/>
      </c>
      <c r="G50" s="111">
        <f>SUMPRODUCT((ABS(G33:G44)), $D33:$D44)</f>
        <v/>
      </c>
      <c r="H50" s="111">
        <f>SUMPRODUCT((ABS(H33:H44)), $D33:$D44)</f>
        <v/>
      </c>
      <c r="I50" s="111">
        <f>SUMPRODUCT((ABS(I33:I44)), $D33:$D44)</f>
        <v/>
      </c>
      <c r="J50" s="111">
        <f>SUMPRODUCT((ABS(J33:J44)), $D33:$D44)</f>
        <v/>
      </c>
      <c r="K50" s="111">
        <f>SUMPRODUCT((ABS(K33:K44)), $D33:$D44)</f>
        <v/>
      </c>
      <c r="L50" s="111">
        <f>SUMPRODUCT((ABS(L33:L44)), $D33:$D44)</f>
        <v/>
      </c>
      <c r="M50" s="111">
        <f>SUMPRODUCT((ABS(M33:M44)), $D33:$D44)</f>
        <v/>
      </c>
      <c r="N50" s="111">
        <f>SUMPRODUCT((ABS(N33:N44)), $D33:$D44)</f>
        <v/>
      </c>
      <c r="O50" s="111">
        <f>SUMPRODUCT((ABS(O33:O44)), $D33:$D44)</f>
        <v/>
      </c>
      <c r="P50" s="111">
        <f>SUMPRODUCT((ABS(P33:P44)), $D33:$D44)</f>
        <v/>
      </c>
      <c r="Q50" s="111">
        <f>SUMPRODUCT((ABS(Q33:Q44)), $D33:$D44)</f>
        <v/>
      </c>
      <c r="R50" s="111">
        <f>SUMPRODUCT((ABS(R33:R44)), $D33:$D44)</f>
        <v/>
      </c>
      <c r="S50" s="111">
        <f>SUMPRODUCT((ABS(S33:S44)), $D33:$D44)</f>
        <v/>
      </c>
      <c r="T50" s="111">
        <f>SUMPRODUCT((ABS(T33:T44)), $D33:$D44)</f>
        <v/>
      </c>
      <c r="U50" s="111">
        <f>SUMPRODUCT((ABS(U33:U44)), $D33:$D44)</f>
        <v/>
      </c>
      <c r="V50" s="111">
        <f>SUMPRODUCT((ABS(V33:V44)), $D33:$D44)</f>
        <v/>
      </c>
      <c r="W50" s="111">
        <f>SUMPRODUCT((ABS(W33:W44)), $D33:$D44)</f>
        <v/>
      </c>
      <c r="X50" s="111">
        <f>SUMPRODUCT((ABS(X33:X44)), $D33:$D44)</f>
        <v/>
      </c>
      <c r="Y50" s="111">
        <f>SUMPRODUCT((ABS(Y33:Y44)), $D33:$D44)</f>
        <v/>
      </c>
      <c r="Z50" s="111">
        <f>SUMPRODUCT((ABS(Z33:Z44)), $D33:$D44)</f>
        <v/>
      </c>
      <c r="AA50" s="111">
        <f>SUMPRODUCT((ABS(AA33:AA44)), $D33:$D44)</f>
        <v/>
      </c>
      <c r="AB50" s="111">
        <f>SUMPRODUCT((ABS(AB33:AB44)), $D33:$D44)</f>
        <v/>
      </c>
      <c r="AC50" s="111">
        <f>SUMPRODUCT((ABS(AC33:AC44)), $D33:$D44)</f>
        <v/>
      </c>
      <c r="AD50" s="112">
        <f>SUMPRODUCT((ABS(AD33:AD44)), $D33:$D44)</f>
        <v/>
      </c>
      <c r="AH50" s="14" t="n"/>
    </row>
    <row r="51">
      <c r="B51" s="9" t="n"/>
      <c r="C51" s="104" t="inlineStr">
        <is>
          <t>Positive Imputed Importance</t>
        </is>
      </c>
      <c r="D51" s="105" t="n"/>
      <c r="E51" s="19">
        <f>(SUMPRODUCT(E33:E44, $D33:$D44) + SUMPRODUCT((ABS(E33:E44)), $D33:$D44))/2</f>
        <v/>
      </c>
      <c r="F51" s="19">
        <f>(SUMPRODUCT(F33:F44, $D33:$D44) + SUMPRODUCT((ABS(F33:F44)), $D33:$D44))/2</f>
        <v/>
      </c>
      <c r="G51" s="19">
        <f>(SUMPRODUCT(G33:G44, $D33:$D44) + SUMPRODUCT((ABS(G33:G44)), $D33:$D44))/2</f>
        <v/>
      </c>
      <c r="H51" s="19">
        <f>(SUMPRODUCT(H33:H44, $D33:$D44) + SUMPRODUCT((ABS(H33:H44)), $D33:$D44))/2</f>
        <v/>
      </c>
      <c r="I51" s="19">
        <f>(SUMPRODUCT(I33:I44, $D33:$D44) + SUMPRODUCT((ABS(I33:I44)), $D33:$D44))/2</f>
        <v/>
      </c>
      <c r="J51" s="19">
        <f>(SUMPRODUCT(J33:J44, $D33:$D44) + SUMPRODUCT((ABS(J33:J44)), $D33:$D44))/2</f>
        <v/>
      </c>
      <c r="K51" s="19">
        <f>(SUMPRODUCT(K33:K44, $D33:$D44) + SUMPRODUCT((ABS(K33:K44)), $D33:$D44))/2</f>
        <v/>
      </c>
      <c r="L51" s="19">
        <f>(SUMPRODUCT(L33:L44, $D33:$D44) + SUMPRODUCT((ABS(L33:L44)), $D33:$D44))/2</f>
        <v/>
      </c>
      <c r="M51" s="19">
        <f>(SUMPRODUCT(M33:M44, $D33:$D44) + SUMPRODUCT((ABS(M33:M44)), $D33:$D44))/2</f>
        <v/>
      </c>
      <c r="N51" s="19">
        <f>(SUMPRODUCT(N33:N44, $D33:$D44) + SUMPRODUCT((ABS(N33:N44)), $D33:$D44))/2</f>
        <v/>
      </c>
      <c r="O51" s="19">
        <f>(SUMPRODUCT(O33:O44, $D33:$D44) + SUMPRODUCT((ABS(O33:O44)), $D33:$D44))/2</f>
        <v/>
      </c>
      <c r="P51" s="19">
        <f>(SUMPRODUCT(P33:P44, $D33:$D44) + SUMPRODUCT((ABS(P33:P44)), $D33:$D44))/2</f>
        <v/>
      </c>
      <c r="Q51" s="19">
        <f>(SUMPRODUCT(Q33:Q44, $D33:$D44) + SUMPRODUCT((ABS(Q33:Q44)), $D33:$D44))/2</f>
        <v/>
      </c>
      <c r="R51" s="19">
        <f>(SUMPRODUCT(R33:R44, $D33:$D44) + SUMPRODUCT((ABS(R33:R44)), $D33:$D44))/2</f>
        <v/>
      </c>
      <c r="S51" s="19">
        <f>(SUMPRODUCT(S33:S44, $D33:$D44) + SUMPRODUCT((ABS(S33:S44)), $D33:$D44))/2</f>
        <v/>
      </c>
      <c r="T51" s="19">
        <f>(SUMPRODUCT(T33:T44, $D33:$D44) + SUMPRODUCT((ABS(T33:T44)), $D33:$D44))/2</f>
        <v/>
      </c>
      <c r="U51" s="19">
        <f>(SUMPRODUCT(U33:U44, $D33:$D44) + SUMPRODUCT((ABS(U33:U44)), $D33:$D44))/2</f>
        <v/>
      </c>
      <c r="V51" s="19">
        <f>(SUMPRODUCT(V33:V44, $D33:$D44) + SUMPRODUCT((ABS(V33:V44)), $D33:$D44))/2</f>
        <v/>
      </c>
      <c r="W51" s="19">
        <f>(SUMPRODUCT(W33:W44, $D33:$D44) + SUMPRODUCT((ABS(W33:W44)), $D33:$D44))/2</f>
        <v/>
      </c>
      <c r="X51" s="19">
        <f>(SUMPRODUCT(X33:X44, $D33:$D44) + SUMPRODUCT((ABS(X33:X44)), $D33:$D44))/2</f>
        <v/>
      </c>
      <c r="Y51" s="19">
        <f>(SUMPRODUCT(Y33:Y44, $D33:$D44) + SUMPRODUCT((ABS(Y33:Y44)), $D33:$D44))/2</f>
        <v/>
      </c>
      <c r="Z51" s="19">
        <f>(SUMPRODUCT(Z33:Z44, $D33:$D44) + SUMPRODUCT((ABS(Z33:Z44)), $D33:$D44))/2</f>
        <v/>
      </c>
      <c r="AA51" s="19">
        <f>(SUMPRODUCT(AA33:AA44, $D33:$D44) + SUMPRODUCT((ABS(AA33:AA44)), $D33:$D44))/2</f>
        <v/>
      </c>
      <c r="AB51" s="19">
        <f>(SUMPRODUCT(AB33:AB44, $D33:$D44) + SUMPRODUCT((ABS(AB33:AB44)), $D33:$D44))/2</f>
        <v/>
      </c>
      <c r="AC51" s="19">
        <f>(SUMPRODUCT(AC33:AC44, $D33:$D44) + SUMPRODUCT((ABS(AC33:AC44)), $D33:$D44))/2</f>
        <v/>
      </c>
      <c r="AD51" s="107">
        <f>(SUMPRODUCT(AD33:AD44, $D33:$D44) + SUMPRODUCT((ABS(AD33:AD44)), $D33:$D44))/2</f>
        <v/>
      </c>
      <c r="AH51" s="14" t="n"/>
    </row>
    <row r="52">
      <c r="B52" s="9" t="n"/>
      <c r="C52" s="104" t="inlineStr">
        <is>
          <t>Negative Imputed Importance</t>
        </is>
      </c>
      <c r="D52" s="105" t="n"/>
      <c r="E52" s="19">
        <f>(-SUMPRODUCT(E33:E44, $D33:$D44)+SUMPRODUCT(ABS(E33:E44), $D33:$D44))/2</f>
        <v/>
      </c>
      <c r="F52" s="19">
        <f>(-SUMPRODUCT(F33:F44, $D33:$D44)+SUMPRODUCT(ABS(F33:F44), $D33:$D44))/2</f>
        <v/>
      </c>
      <c r="G52" s="19">
        <f>(-SUMPRODUCT(G33:G44, $D33:$D44)+SUMPRODUCT(ABS(G33:G44), $D33:$D44))/2</f>
        <v/>
      </c>
      <c r="H52" s="19">
        <f>(-SUMPRODUCT(H33:H44, $D33:$D44)+SUMPRODUCT(ABS(H33:H44), $D33:$D44))/2</f>
        <v/>
      </c>
      <c r="I52" s="19">
        <f>(-SUMPRODUCT(I33:I44, $D33:$D44)+SUMPRODUCT(ABS(I33:I44), $D33:$D44))/2</f>
        <v/>
      </c>
      <c r="J52" s="19">
        <f>(-SUMPRODUCT(J33:J44, $D33:$D44)+SUMPRODUCT(ABS(J33:J44), $D33:$D44))/2</f>
        <v/>
      </c>
      <c r="K52" s="19">
        <f>(-SUMPRODUCT(K33:K44, $D33:$D44)+SUMPRODUCT(ABS(K33:K44), $D33:$D44))/2</f>
        <v/>
      </c>
      <c r="L52" s="19">
        <f>(-SUMPRODUCT(L33:L44, $D33:$D44)+SUMPRODUCT(ABS(L33:L44), $D33:$D44))/2</f>
        <v/>
      </c>
      <c r="M52" s="19">
        <f>(-SUMPRODUCT(M33:M44, $D33:$D44)+SUMPRODUCT(ABS(M33:M44), $D33:$D44))/2</f>
        <v/>
      </c>
      <c r="N52" s="19">
        <f>(-SUMPRODUCT(N33:N44, $D33:$D44)+SUMPRODUCT(ABS(N33:N44), $D33:$D44))/2</f>
        <v/>
      </c>
      <c r="O52" s="19">
        <f>(-SUMPRODUCT(O33:O44, $D33:$D44)+SUMPRODUCT(ABS(O33:O44), $D33:$D44))/2</f>
        <v/>
      </c>
      <c r="P52" s="19">
        <f>(-SUMPRODUCT(P33:P44, $D33:$D44)+SUMPRODUCT(ABS(P33:P44), $D33:$D44))/2</f>
        <v/>
      </c>
      <c r="Q52" s="19">
        <f>(-SUMPRODUCT(Q33:Q44, $D33:$D44)+SUMPRODUCT(ABS(Q33:Q44), $D33:$D44))/2</f>
        <v/>
      </c>
      <c r="R52" s="19">
        <f>(-SUMPRODUCT(R33:R44, $D33:$D44)+SUMPRODUCT(ABS(R33:R44), $D33:$D44))/2</f>
        <v/>
      </c>
      <c r="S52" s="19">
        <f>(-SUMPRODUCT(S33:S44, $D33:$D44)+SUMPRODUCT(ABS(S33:S44), $D33:$D44))/2</f>
        <v/>
      </c>
      <c r="T52" s="19">
        <f>(-SUMPRODUCT(T33:T44, $D33:$D44)+SUMPRODUCT(ABS(T33:T44), $D33:$D44))/2</f>
        <v/>
      </c>
      <c r="U52" s="19">
        <f>(-SUMPRODUCT(U33:U44, $D33:$D44)+SUMPRODUCT(ABS(U33:U44), $D33:$D44))/2</f>
        <v/>
      </c>
      <c r="V52" s="19">
        <f>(-SUMPRODUCT(V33:V44, $D33:$D44)+SUMPRODUCT(ABS(V33:V44), $D33:$D44))/2</f>
        <v/>
      </c>
      <c r="W52" s="19">
        <f>(-SUMPRODUCT(W33:W44, $D33:$D44)+SUMPRODUCT(ABS(W33:W44), $D33:$D44))/2</f>
        <v/>
      </c>
      <c r="X52" s="19">
        <f>(-SUMPRODUCT(X33:X44, $D33:$D44)+SUMPRODUCT(ABS(X33:X44), $D33:$D44))/2</f>
        <v/>
      </c>
      <c r="Y52" s="19">
        <f>(-SUMPRODUCT(Y33:Y44, $D33:$D44)+SUMPRODUCT(ABS(Y33:Y44), $D33:$D44))/2</f>
        <v/>
      </c>
      <c r="Z52" s="19">
        <f>(-SUMPRODUCT(Z33:Z44, $D33:$D44)+SUMPRODUCT(ABS(Z33:Z44), $D33:$D44))/2</f>
        <v/>
      </c>
      <c r="AA52" s="19">
        <f>(-SUMPRODUCT(AA33:AA44, $D33:$D44)+SUMPRODUCT(ABS(AA33:AA44), $D33:$D44))/2</f>
        <v/>
      </c>
      <c r="AB52" s="19">
        <f>(-SUMPRODUCT(AB33:AB44, $D33:$D44)+SUMPRODUCT(ABS(AB33:AB44), $D33:$D44))/2</f>
        <v/>
      </c>
      <c r="AC52" s="19">
        <f>(-SUMPRODUCT(AC33:AC44, $D33:$D44)+SUMPRODUCT(ABS(AC33:AC44), $D33:$D44))/2</f>
        <v/>
      </c>
      <c r="AD52" s="107">
        <f>(-SUMPRODUCT(AD33:AD44, $D33:$D44)+SUMPRODUCT(ABS(AD33:AD44), $D33:$D44))/2</f>
        <v/>
      </c>
      <c r="AH52" s="14" t="n"/>
    </row>
    <row r="53">
      <c r="C53" s="104" t="inlineStr">
        <is>
          <t>Technical Difficulty (1 Low, 5 High)</t>
        </is>
      </c>
      <c r="D53" s="105" t="n"/>
      <c r="E53" s="19" t="n">
        <v>2</v>
      </c>
      <c r="F53" s="19" t="n">
        <v>2</v>
      </c>
      <c r="G53" s="19" t="n">
        <v>2</v>
      </c>
      <c r="H53" s="19" t="n">
        <v>2</v>
      </c>
      <c r="I53" s="19" t="n">
        <v>3</v>
      </c>
      <c r="J53" s="19" t="n">
        <v>3</v>
      </c>
      <c r="K53" s="19" t="n">
        <v>3</v>
      </c>
      <c r="L53" s="19" t="n">
        <v>2</v>
      </c>
      <c r="M53" s="19" t="n">
        <v>3</v>
      </c>
      <c r="N53" s="19" t="n">
        <v>4</v>
      </c>
      <c r="O53" s="19" t="n">
        <v>3</v>
      </c>
      <c r="P53" s="19" t="n">
        <v>1</v>
      </c>
      <c r="Q53" s="19" t="n">
        <v>2</v>
      </c>
      <c r="R53" s="19" t="n">
        <v>3</v>
      </c>
      <c r="S53" s="19" t="n">
        <v>3</v>
      </c>
      <c r="T53" s="19" t="n">
        <v>3</v>
      </c>
      <c r="U53" s="19" t="n">
        <v>2</v>
      </c>
      <c r="V53" s="19" t="n">
        <v>1</v>
      </c>
      <c r="W53" s="19" t="n"/>
      <c r="X53" s="19" t="inlineStr">
        <is>
          <t xml:space="preserve"> </t>
        </is>
      </c>
      <c r="Y53" s="19" t="inlineStr">
        <is>
          <t xml:space="preserve"> </t>
        </is>
      </c>
      <c r="Z53" s="19" t="inlineStr">
        <is>
          <t xml:space="preserve"> </t>
        </is>
      </c>
      <c r="AA53" s="19" t="inlineStr">
        <is>
          <t xml:space="preserve"> </t>
        </is>
      </c>
      <c r="AB53" s="19" t="inlineStr">
        <is>
          <t xml:space="preserve"> </t>
        </is>
      </c>
      <c r="AC53" s="19" t="inlineStr">
        <is>
          <t xml:space="preserve"> </t>
        </is>
      </c>
      <c r="AD53" s="107" t="inlineStr">
        <is>
          <t xml:space="preserve"> </t>
        </is>
      </c>
      <c r="AH53" s="14" t="n"/>
    </row>
    <row r="54" ht="17" customHeight="1">
      <c r="C54" s="113" t="inlineStr">
        <is>
          <t>Estimated Cost (1 Low, 5 High)</t>
        </is>
      </c>
      <c r="D54" s="114" t="n"/>
      <c r="E54" s="115" t="n">
        <v>2</v>
      </c>
      <c r="F54" s="115" t="n">
        <v>1</v>
      </c>
      <c r="G54" s="115" t="n">
        <v>1</v>
      </c>
      <c r="H54" s="115" t="n">
        <v>1</v>
      </c>
      <c r="I54" s="115" t="n">
        <v>3</v>
      </c>
      <c r="J54" s="115" t="n">
        <v>4</v>
      </c>
      <c r="K54" s="115" t="n">
        <v>2</v>
      </c>
      <c r="L54" s="115" t="n">
        <v>1</v>
      </c>
      <c r="M54" s="115" t="n">
        <v>2</v>
      </c>
      <c r="N54" s="115" t="n">
        <v>3</v>
      </c>
      <c r="O54" s="115" t="n">
        <v>3</v>
      </c>
      <c r="P54" s="115" t="n">
        <v>1</v>
      </c>
      <c r="Q54" s="115" t="n">
        <v>2</v>
      </c>
      <c r="R54" s="115" t="n">
        <v>2</v>
      </c>
      <c r="S54" s="115" t="n">
        <v>2</v>
      </c>
      <c r="T54" s="115" t="n">
        <v>2</v>
      </c>
      <c r="U54" s="115" t="n">
        <v>2</v>
      </c>
      <c r="V54" s="115" t="n">
        <v>2</v>
      </c>
      <c r="W54" s="115" t="n"/>
      <c r="X54" s="115" t="inlineStr">
        <is>
          <t xml:space="preserve"> </t>
        </is>
      </c>
      <c r="Y54" s="115" t="inlineStr">
        <is>
          <t xml:space="preserve"> </t>
        </is>
      </c>
      <c r="Z54" s="115" t="inlineStr">
        <is>
          <t xml:space="preserve"> </t>
        </is>
      </c>
      <c r="AA54" s="115" t="inlineStr">
        <is>
          <t xml:space="preserve"> </t>
        </is>
      </c>
      <c r="AB54" s="115" t="inlineStr">
        <is>
          <t xml:space="preserve"> </t>
        </is>
      </c>
      <c r="AC54" s="115" t="inlineStr">
        <is>
          <t xml:space="preserve"> </t>
        </is>
      </c>
      <c r="AD54" s="116" t="inlineStr">
        <is>
          <t xml:space="preserve"> </t>
        </is>
      </c>
      <c r="AH54" s="14" t="n"/>
    </row>
    <row r="55">
      <c r="AH55" s="14" t="n"/>
    </row>
    <row r="56">
      <c r="AH56" s="14" t="n"/>
      <c r="AN56" s="8" t="n"/>
    </row>
    <row r="57">
      <c r="AH57" s="14" t="n"/>
      <c r="AM57" s="14" t="n"/>
    </row>
    <row r="58">
      <c r="AH58" s="14" t="n"/>
      <c r="AM58" s="14" t="n"/>
    </row>
    <row r="59">
      <c r="AM59" s="14" t="n"/>
    </row>
    <row r="60">
      <c r="AM60" s="14" t="n"/>
    </row>
    <row r="61">
      <c r="AM61" s="14" t="n"/>
    </row>
    <row r="62">
      <c r="AM62" s="14" t="n"/>
    </row>
  </sheetData>
  <mergeCells count="17">
    <mergeCell ref="AJ31:AN31"/>
    <mergeCell ref="B2:C2"/>
    <mergeCell ref="C46:D46"/>
    <mergeCell ref="C47:D47"/>
    <mergeCell ref="C54:D54"/>
    <mergeCell ref="B4:C4"/>
    <mergeCell ref="C51:D51"/>
    <mergeCell ref="B19:C19"/>
    <mergeCell ref="AE30:AL30"/>
    <mergeCell ref="C50:D50"/>
    <mergeCell ref="C45:D45"/>
    <mergeCell ref="AE29:AH29"/>
    <mergeCell ref="C52:D52"/>
    <mergeCell ref="C53:D53"/>
    <mergeCell ref="C48:D48"/>
    <mergeCell ref="AE31:AI31"/>
    <mergeCell ref="C49:D49"/>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P71"/>
  <sheetViews>
    <sheetView workbookViewId="0">
      <selection activeCell="A1" sqref="A1"/>
    </sheetView>
  </sheetViews>
  <sheetFormatPr baseColWidth="8" defaultRowHeight="15"/>
  <cols>
    <col width="8.83203125" customWidth="1" min="1" max="1"/>
    <col width="45.5" customWidth="1" min="2" max="2"/>
    <col width="29.5" customWidth="1" min="3" max="3"/>
    <col width="11.6640625" customWidth="1" min="4" max="4"/>
    <col width="4.6640625" customWidth="1" min="5" max="5"/>
    <col width="5.5" customWidth="1" min="19" max="19"/>
    <col width="4.6640625" customWidth="1" min="20" max="20"/>
    <col width="5.5" customWidth="1" min="21" max="21"/>
    <col width="4.6640625" customWidth="1" min="22" max="22"/>
    <col width="6.6640625" customWidth="1" min="28" max="28"/>
    <col width="6.83203125" customWidth="1" min="29" max="29"/>
    <col width="4.6640625" customWidth="1" min="30" max="30"/>
    <col width="8.83203125" customWidth="1" min="31" max="31"/>
    <col width="3.5" customWidth="1" min="41" max="41"/>
    <col width="8.83203125" customWidth="1" min="42" max="42"/>
  </cols>
  <sheetData>
    <row r="1">
      <c r="B1" s="117" t="inlineStr">
        <is>
          <t>Project Title</t>
        </is>
      </c>
    </row>
    <row r="2" ht="17" customHeight="1">
      <c r="A2" s="118" t="inlineStr">
        <is>
          <t>A</t>
        </is>
      </c>
      <c r="B2" s="119" t="inlineStr">
        <is>
          <t xml:space="preserve">Robotic Vehicle </t>
        </is>
      </c>
      <c r="AP2" s="117" t="n"/>
    </row>
    <row r="3" ht="17" customHeight="1">
      <c r="B3" s="117" t="inlineStr">
        <is>
          <t>Developed by</t>
        </is>
      </c>
      <c r="D3" s="120" t="n">
        <v>1</v>
      </c>
      <c r="E3" s="121">
        <f>E31</f>
        <v/>
      </c>
      <c r="F3" s="122">
        <f>E30</f>
        <v/>
      </c>
      <c r="AO3" s="123" t="n"/>
    </row>
    <row r="4" ht="17" customHeight="1">
      <c r="B4" s="119" t="inlineStr">
        <is>
          <t>The Cornell Cup Team, advisor: Dr. David R. Schneider, drs44@cornell.edu</t>
        </is>
      </c>
      <c r="D4" s="120">
        <f>D3+1</f>
        <v/>
      </c>
      <c r="E4" s="124" t="n">
        <v>1</v>
      </c>
      <c r="F4" s="125">
        <f>F31</f>
        <v/>
      </c>
      <c r="G4" s="122">
        <f>F30</f>
        <v/>
      </c>
      <c r="AO4" s="123" t="n"/>
    </row>
    <row r="5" ht="17" customHeight="1">
      <c r="B5" s="117" t="inlineStr">
        <is>
          <t>Last Updated</t>
        </is>
      </c>
      <c r="D5" s="120">
        <f>D4+1</f>
        <v/>
      </c>
      <c r="E5" s="124" t="n"/>
      <c r="F5" s="126" t="n"/>
      <c r="G5" s="125">
        <f>G31</f>
        <v/>
      </c>
      <c r="H5" s="122">
        <f>G30</f>
        <v/>
      </c>
      <c r="AO5" s="123" t="n"/>
    </row>
    <row r="6" ht="17" customHeight="1">
      <c r="B6" s="127" t="n">
        <v>42587</v>
      </c>
      <c r="D6" s="120">
        <f>D5+1</f>
        <v/>
      </c>
      <c r="E6" s="124" t="n"/>
      <c r="F6" s="128" t="n"/>
      <c r="G6" s="126" t="n">
        <v>1</v>
      </c>
      <c r="H6" s="125">
        <f>H31</f>
        <v/>
      </c>
      <c r="I6" s="122">
        <f>H30</f>
        <v/>
      </c>
      <c r="AO6" s="123" t="n"/>
    </row>
    <row r="7" ht="17" customHeight="1">
      <c r="B7" s="117" t="n"/>
      <c r="D7" s="120">
        <f>D6+1</f>
        <v/>
      </c>
      <c r="E7" s="124" t="n"/>
      <c r="F7" s="129" t="n"/>
      <c r="G7" s="128" t="n"/>
      <c r="H7" s="126" t="n">
        <v>1</v>
      </c>
      <c r="I7" s="125">
        <f>I31</f>
        <v/>
      </c>
      <c r="J7" s="122">
        <f>I30</f>
        <v/>
      </c>
      <c r="AO7" s="123" t="n"/>
    </row>
    <row r="8" ht="17" customHeight="1">
      <c r="B8" s="117" t="n"/>
      <c r="D8" s="120">
        <f>D7+1</f>
        <v/>
      </c>
      <c r="E8" s="124" t="n"/>
      <c r="F8" s="129" t="n"/>
      <c r="G8" s="129" t="n"/>
      <c r="H8" s="128" t="n">
        <v>1</v>
      </c>
      <c r="I8" s="126" t="n"/>
      <c r="J8" s="130">
        <f>J31</f>
        <v/>
      </c>
      <c r="K8" s="122">
        <f>J30</f>
        <v/>
      </c>
      <c r="AO8" s="123" t="n"/>
    </row>
    <row r="9" ht="17" customHeight="1">
      <c r="B9" s="117" t="n"/>
      <c r="D9" s="120">
        <f>D8+1</f>
        <v/>
      </c>
      <c r="E9" s="124" t="n"/>
      <c r="F9" s="129" t="n"/>
      <c r="G9" s="129" t="n"/>
      <c r="H9" s="128" t="n">
        <v>1</v>
      </c>
      <c r="I9" s="126" t="n"/>
      <c r="J9" s="131" t="n">
        <v>-1</v>
      </c>
      <c r="K9" s="125">
        <f>K31</f>
        <v/>
      </c>
      <c r="L9" s="122">
        <f>K30</f>
        <v/>
      </c>
      <c r="AO9" s="123" t="n"/>
    </row>
    <row r="10" ht="17" customHeight="1">
      <c r="B10" s="117" t="inlineStr">
        <is>
          <t>Relationships</t>
        </is>
      </c>
      <c r="D10" s="120">
        <f>D9+1</f>
        <v/>
      </c>
      <c r="E10" s="124" t="n">
        <v>-1</v>
      </c>
      <c r="F10" s="129" t="n"/>
      <c r="G10" s="129" t="n">
        <v>1</v>
      </c>
      <c r="H10" s="128" t="n">
        <v>1</v>
      </c>
      <c r="I10" s="126" t="n"/>
      <c r="J10" s="131" t="n"/>
      <c r="K10" s="128" t="n"/>
      <c r="L10" s="125">
        <f>L31</f>
        <v/>
      </c>
      <c r="M10" s="122">
        <f>L30</f>
        <v/>
      </c>
      <c r="AO10" s="123" t="n"/>
    </row>
    <row r="11" ht="17" customHeight="1">
      <c r="A11" s="123" t="inlineStr">
        <is>
          <t>+ +</t>
        </is>
      </c>
      <c r="B11" s="120" t="inlineStr">
        <is>
          <t>Strong Positive</t>
        </is>
      </c>
      <c r="D11" s="120">
        <f>D10+1</f>
        <v/>
      </c>
      <c r="E11" s="124" t="n">
        <v>-1</v>
      </c>
      <c r="F11" s="129" t="n"/>
      <c r="G11" s="129" t="n">
        <v>1</v>
      </c>
      <c r="H11" s="128" t="n">
        <v>1</v>
      </c>
      <c r="I11" s="126" t="n"/>
      <c r="J11" s="131" t="n"/>
      <c r="K11" s="128" t="n"/>
      <c r="L11" s="128" t="n"/>
      <c r="M11" s="125">
        <f>M31</f>
        <v/>
      </c>
      <c r="N11" s="122">
        <f>M30</f>
        <v/>
      </c>
      <c r="AO11" s="123" t="n"/>
    </row>
    <row r="12" ht="17" customHeight="1">
      <c r="A12" s="123" t="inlineStr">
        <is>
          <t>+</t>
        </is>
      </c>
      <c r="B12" s="120" t="inlineStr">
        <is>
          <t>Positive</t>
        </is>
      </c>
      <c r="D12" s="120">
        <f>D11+1</f>
        <v/>
      </c>
      <c r="E12" s="124" t="n"/>
      <c r="F12" s="129" t="n"/>
      <c r="G12" s="129" t="n">
        <v>1</v>
      </c>
      <c r="H12" s="128" t="n"/>
      <c r="I12" s="126" t="n"/>
      <c r="J12" s="132" t="n"/>
      <c r="K12" s="126" t="n"/>
      <c r="L12" s="126" t="n">
        <v>2</v>
      </c>
      <c r="M12" s="126" t="n">
        <v>2</v>
      </c>
      <c r="N12" s="130">
        <f>N31</f>
        <v/>
      </c>
      <c r="O12" s="122">
        <f>N30</f>
        <v/>
      </c>
      <c r="AO12" s="123" t="n"/>
    </row>
    <row r="13" ht="17" customHeight="1">
      <c r="A13" s="123" t="n"/>
      <c r="B13" s="120" t="inlineStr">
        <is>
          <t>Neutral, Not Applicable</t>
        </is>
      </c>
      <c r="D13" s="120">
        <f>D12+1</f>
        <v/>
      </c>
      <c r="E13" s="124" t="inlineStr">
        <is>
          <t>-1/1</t>
        </is>
      </c>
      <c r="F13" s="129" t="n">
        <v>1</v>
      </c>
      <c r="G13" s="129" t="n">
        <v>2</v>
      </c>
      <c r="H13" s="128" t="n"/>
      <c r="I13" s="126" t="n"/>
      <c r="J13" s="128" t="n"/>
      <c r="K13" s="128" t="n"/>
      <c r="L13" s="128" t="n">
        <v>1</v>
      </c>
      <c r="M13" s="128" t="n"/>
      <c r="N13" s="128" t="n">
        <v>-1</v>
      </c>
      <c r="O13" s="130">
        <f>O31</f>
        <v/>
      </c>
      <c r="P13" s="122">
        <f>O30</f>
        <v/>
      </c>
      <c r="AO13" s="123" t="n"/>
    </row>
    <row r="14" ht="17" customHeight="1">
      <c r="A14" s="123" t="inlineStr">
        <is>
          <t>x</t>
        </is>
      </c>
      <c r="B14" s="120" t="inlineStr">
        <is>
          <t>Negative</t>
        </is>
      </c>
      <c r="D14" s="120">
        <f>D13+1</f>
        <v/>
      </c>
      <c r="E14" s="124" t="inlineStr">
        <is>
          <t>-1/1</t>
        </is>
      </c>
      <c r="F14" s="129" t="n">
        <v>-1</v>
      </c>
      <c r="G14" s="129" t="n">
        <v>1</v>
      </c>
      <c r="H14" s="128" t="n"/>
      <c r="I14" s="126" t="n"/>
      <c r="J14" s="129" t="n"/>
      <c r="K14" s="129" t="n"/>
      <c r="L14" s="129" t="n"/>
      <c r="M14" s="129" t="n"/>
      <c r="N14" s="129" t="n"/>
      <c r="O14" s="131" t="n">
        <v>-1</v>
      </c>
      <c r="P14" s="125">
        <f>Q31</f>
        <v/>
      </c>
      <c r="Q14" s="122">
        <f>P30</f>
        <v/>
      </c>
      <c r="AO14" s="123" t="n"/>
    </row>
    <row r="15" ht="17" customHeight="1">
      <c r="A15" s="123" t="inlineStr">
        <is>
          <t>x x</t>
        </is>
      </c>
      <c r="B15" s="120" t="inlineStr">
        <is>
          <t>Strong Negative</t>
        </is>
      </c>
      <c r="D15" s="120">
        <f>D14+1</f>
        <v/>
      </c>
      <c r="E15" s="124" t="inlineStr">
        <is>
          <t>-2/1</t>
        </is>
      </c>
      <c r="F15" s="129" t="n">
        <v>1</v>
      </c>
      <c r="G15" s="129" t="n"/>
      <c r="H15" s="128" t="n"/>
      <c r="I15" s="126" t="n"/>
      <c r="J15" s="129" t="n"/>
      <c r="K15" s="129" t="n"/>
      <c r="L15" s="129" t="n">
        <v>2</v>
      </c>
      <c r="M15" s="129" t="n">
        <v>1</v>
      </c>
      <c r="N15" s="129" t="n"/>
      <c r="O15" s="131" t="n">
        <v>2</v>
      </c>
      <c r="P15" s="128" t="n">
        <v>1</v>
      </c>
      <c r="Q15" s="125">
        <f>Q31</f>
        <v/>
      </c>
      <c r="R15" s="122">
        <f>Q30</f>
        <v/>
      </c>
      <c r="AO15" s="123" t="n"/>
    </row>
    <row r="16" ht="17" customHeight="1">
      <c r="B16" s="117" t="n"/>
      <c r="D16" s="120">
        <f>D15+1</f>
        <v/>
      </c>
      <c r="E16" s="124" t="inlineStr">
        <is>
          <t>-2/1</t>
        </is>
      </c>
      <c r="F16" s="129" t="n"/>
      <c r="G16" s="129" t="n">
        <v>2</v>
      </c>
      <c r="H16" s="129" t="n"/>
      <c r="I16" s="128" t="n"/>
      <c r="J16" s="128" t="n"/>
      <c r="K16" s="128" t="n"/>
      <c r="L16" s="128" t="n">
        <v>1</v>
      </c>
      <c r="M16" s="128" t="inlineStr">
        <is>
          <t>1/0</t>
        </is>
      </c>
      <c r="N16" s="128" t="n">
        <v>2</v>
      </c>
      <c r="O16" s="131" t="n">
        <v>2</v>
      </c>
      <c r="P16" s="128" t="n">
        <v>2</v>
      </c>
      <c r="Q16" s="128" t="n">
        <v>2</v>
      </c>
      <c r="R16" s="125">
        <f>R31</f>
        <v/>
      </c>
      <c r="S16" s="122">
        <f>R30</f>
        <v/>
      </c>
      <c r="AO16" s="123" t="n"/>
    </row>
    <row r="17" ht="17" customHeight="1">
      <c r="B17" s="117" t="n"/>
      <c r="D17" s="120">
        <f>D16+1</f>
        <v/>
      </c>
      <c r="E17" s="124" t="n">
        <v>-1</v>
      </c>
      <c r="F17" s="129" t="n"/>
      <c r="G17" s="129" t="n"/>
      <c r="H17" s="129" t="n"/>
      <c r="I17" s="129" t="n"/>
      <c r="J17" s="129" t="n"/>
      <c r="K17" s="129" t="n"/>
      <c r="L17" s="129" t="n"/>
      <c r="M17" s="129" t="n"/>
      <c r="N17" s="129" t="n"/>
      <c r="O17" s="132" t="n"/>
      <c r="P17" s="126" t="n"/>
      <c r="Q17" s="126" t="n"/>
      <c r="R17" s="126" t="n"/>
      <c r="S17" s="130">
        <f>S31</f>
        <v/>
      </c>
      <c r="T17" s="122">
        <f>S30</f>
        <v/>
      </c>
      <c r="AO17" s="123" t="n"/>
    </row>
    <row r="18" ht="17" customHeight="1">
      <c r="B18" s="117" t="n"/>
      <c r="D18" s="120">
        <f>D17+1</f>
        <v/>
      </c>
      <c r="E18" s="124" t="n"/>
      <c r="F18" s="133" t="n"/>
      <c r="G18" s="129" t="n"/>
      <c r="H18" s="129" t="n"/>
      <c r="I18" s="129" t="n"/>
      <c r="J18" s="129" t="n"/>
      <c r="K18" s="129" t="n"/>
      <c r="L18" s="129" t="n"/>
      <c r="M18" s="129" t="n"/>
      <c r="N18" s="129" t="n"/>
      <c r="O18" s="128" t="n"/>
      <c r="P18" s="128" t="n"/>
      <c r="Q18" s="128" t="n"/>
      <c r="R18" s="128" t="n"/>
      <c r="S18" s="128" t="n">
        <v>1</v>
      </c>
      <c r="T18" s="125">
        <f>T31</f>
        <v/>
      </c>
      <c r="U18" s="122">
        <f>T30</f>
        <v/>
      </c>
      <c r="AO18" s="123" t="n"/>
    </row>
    <row r="19" ht="17" customHeight="1">
      <c r="B19" s="119" t="n"/>
      <c r="D19" s="120">
        <f>D18+1</f>
        <v/>
      </c>
      <c r="E19" s="124" t="n"/>
      <c r="F19" s="131" t="n"/>
      <c r="G19" s="134" t="n">
        <v>-2</v>
      </c>
      <c r="H19" s="129" t="n">
        <v>-1</v>
      </c>
      <c r="I19" s="129" t="n"/>
      <c r="J19" s="129" t="n"/>
      <c r="K19" s="129" t="n">
        <v>-1</v>
      </c>
      <c r="L19" s="129" t="n"/>
      <c r="M19" s="129" t="n"/>
      <c r="N19" s="129" t="n"/>
      <c r="O19" s="129" t="n"/>
      <c r="P19" s="129" t="n"/>
      <c r="Q19" s="129" t="n"/>
      <c r="R19" s="129" t="n"/>
      <c r="S19" s="129" t="n"/>
      <c r="T19" s="126" t="n"/>
      <c r="U19" s="130">
        <f>U31</f>
        <v/>
      </c>
      <c r="V19" s="122">
        <f>U30</f>
        <v/>
      </c>
    </row>
    <row r="20" ht="17" customHeight="1">
      <c r="D20" s="120">
        <f>D19+1</f>
        <v/>
      </c>
      <c r="E20" s="124" t="n"/>
      <c r="F20" s="131" t="n"/>
      <c r="G20" s="131" t="n"/>
      <c r="H20" s="131" t="n">
        <v>-1</v>
      </c>
      <c r="I20" s="129" t="n"/>
      <c r="J20" s="129" t="n"/>
      <c r="K20" s="129" t="n"/>
      <c r="L20" s="129" t="n"/>
      <c r="M20" s="129" t="n"/>
      <c r="N20" s="129" t="n"/>
      <c r="O20" s="129" t="n"/>
      <c r="P20" s="129" t="n"/>
      <c r="Q20" s="129" t="n"/>
      <c r="R20" s="129" t="n"/>
      <c r="S20" s="129" t="n"/>
      <c r="T20" s="128" t="n"/>
      <c r="U20" s="131" t="n">
        <v>1</v>
      </c>
      <c r="V20" s="125">
        <f>V31</f>
        <v/>
      </c>
      <c r="W20" s="122">
        <f>V30</f>
        <v/>
      </c>
    </row>
    <row r="21" ht="17" customHeight="1">
      <c r="D21" s="120">
        <f>D20+1</f>
        <v/>
      </c>
      <c r="E21" s="135" t="n"/>
      <c r="F21" s="132" t="n"/>
      <c r="G21" s="132" t="n"/>
      <c r="H21" s="132" t="n">
        <v>-1</v>
      </c>
      <c r="I21" s="132" t="n"/>
      <c r="J21" s="132" t="n"/>
      <c r="K21" s="132" t="n">
        <v>-1</v>
      </c>
      <c r="L21" s="132" t="n">
        <v>-1</v>
      </c>
      <c r="M21" s="132" t="n">
        <v>-1</v>
      </c>
      <c r="N21" s="132" t="n"/>
      <c r="O21" s="132" t="n">
        <v>-1</v>
      </c>
      <c r="P21" s="132" t="n"/>
      <c r="Q21" s="132" t="n"/>
      <c r="R21" s="132" t="n">
        <v>-2</v>
      </c>
      <c r="S21" s="132" t="n"/>
      <c r="T21" s="126" t="n"/>
      <c r="U21" s="126" t="n"/>
      <c r="V21" s="126" t="n"/>
      <c r="W21" s="130">
        <f>W31</f>
        <v/>
      </c>
      <c r="X21" s="122">
        <f>W30</f>
        <v/>
      </c>
    </row>
    <row r="22" ht="17" customHeight="1">
      <c r="D22" s="120">
        <f>D21+1</f>
        <v/>
      </c>
      <c r="E22" s="124" t="n"/>
      <c r="F22" s="128" t="n"/>
      <c r="G22" s="128" t="n"/>
      <c r="H22" s="128" t="n"/>
      <c r="I22" s="128" t="n"/>
      <c r="J22" s="128" t="n"/>
      <c r="K22" s="128" t="n">
        <v>-1</v>
      </c>
      <c r="L22" s="128" t="n"/>
      <c r="M22" s="128" t="n"/>
      <c r="N22" s="128" t="n"/>
      <c r="O22" s="128" t="n"/>
      <c r="P22" s="128" t="n"/>
      <c r="Q22" s="128" t="n"/>
      <c r="R22" s="128" t="n"/>
      <c r="S22" s="128" t="n"/>
      <c r="T22" s="128" t="n"/>
      <c r="U22" s="128" t="n"/>
      <c r="V22" s="128" t="n"/>
      <c r="W22" s="128" t="n"/>
      <c r="X22" s="125">
        <f>X31</f>
        <v/>
      </c>
      <c r="Y22" s="122">
        <f>X30</f>
        <v/>
      </c>
    </row>
    <row r="23" ht="17" customHeight="1">
      <c r="D23" s="120">
        <f>D22+1</f>
        <v/>
      </c>
      <c r="E23" s="136" t="n">
        <v>-1</v>
      </c>
      <c r="F23" s="129" t="n"/>
      <c r="G23" s="129" t="n"/>
      <c r="H23" s="129" t="n"/>
      <c r="I23" s="129" t="n"/>
      <c r="J23" s="129" t="n"/>
      <c r="K23" s="129" t="n"/>
      <c r="L23" s="129" t="n"/>
      <c r="M23" s="129" t="n"/>
      <c r="N23" s="129" t="n"/>
      <c r="O23" s="129" t="n"/>
      <c r="P23" s="129" t="n"/>
      <c r="Q23" s="129" t="n"/>
      <c r="R23" s="129" t="n"/>
      <c r="S23" s="129" t="n">
        <v>-1</v>
      </c>
      <c r="T23" s="129" t="n"/>
      <c r="U23" s="129" t="n"/>
      <c r="V23" s="129" t="n"/>
      <c r="W23" s="129" t="n"/>
      <c r="X23" s="126" t="n">
        <v>-1</v>
      </c>
      <c r="Y23" s="130">
        <f>Y31</f>
        <v/>
      </c>
      <c r="Z23" s="122">
        <f>Y30</f>
        <v/>
      </c>
    </row>
    <row r="24" ht="17" customHeight="1">
      <c r="D24" s="120">
        <f>D23+1</f>
        <v/>
      </c>
      <c r="E24" s="136" t="n"/>
      <c r="F24" s="129" t="n"/>
      <c r="G24" s="129" t="n"/>
      <c r="H24" s="129" t="n"/>
      <c r="I24" s="129" t="n"/>
      <c r="J24" s="129" t="n"/>
      <c r="K24" s="129" t="n"/>
      <c r="L24" s="129" t="n"/>
      <c r="M24" s="129" t="n"/>
      <c r="N24" s="129" t="n"/>
      <c r="O24" s="129" t="n"/>
      <c r="P24" s="129" t="n"/>
      <c r="Q24" s="129" t="n"/>
      <c r="R24" s="129" t="n"/>
      <c r="S24" s="129" t="n">
        <v>2</v>
      </c>
      <c r="T24" s="129" t="n"/>
      <c r="U24" s="129" t="n"/>
      <c r="V24" s="129" t="n"/>
      <c r="W24" s="129" t="n"/>
      <c r="X24" s="128" t="n"/>
      <c r="Y24" s="131" t="n">
        <v>-1</v>
      </c>
      <c r="Z24" s="125">
        <f>Z31</f>
        <v/>
      </c>
      <c r="AA24" s="122">
        <f>Z30</f>
        <v/>
      </c>
    </row>
    <row r="25" ht="17" customHeight="1">
      <c r="D25" s="120">
        <f>D24+1</f>
        <v/>
      </c>
      <c r="E25" s="136" t="n">
        <v>-1</v>
      </c>
      <c r="F25" s="129" t="n">
        <v>-1</v>
      </c>
      <c r="G25" s="129" t="n"/>
      <c r="H25" s="129" t="n"/>
      <c r="I25" s="129" t="inlineStr">
        <is>
          <t>0/1</t>
        </is>
      </c>
      <c r="J25" s="129" t="inlineStr">
        <is>
          <t>0/1</t>
        </is>
      </c>
      <c r="K25" s="129" t="inlineStr">
        <is>
          <t>0/1</t>
        </is>
      </c>
      <c r="L25" s="129" t="n"/>
      <c r="M25" s="129" t="n"/>
      <c r="N25" s="129" t="n"/>
      <c r="O25" s="129" t="n"/>
      <c r="P25" s="129" t="n"/>
      <c r="Q25" s="129" t="n"/>
      <c r="R25" s="129" t="n"/>
      <c r="S25" s="129" t="n">
        <v>1</v>
      </c>
      <c r="T25" s="129" t="n"/>
      <c r="U25" s="129" t="n"/>
      <c r="V25" s="129" t="n"/>
      <c r="W25" s="129" t="n"/>
      <c r="X25" s="128" t="n"/>
      <c r="Y25" s="131" t="n"/>
      <c r="Z25" s="128" t="inlineStr">
        <is>
          <t>-2/2</t>
        </is>
      </c>
      <c r="AA25" s="125">
        <f>AA31</f>
        <v/>
      </c>
      <c r="AB25" s="122">
        <f>AA30</f>
        <v/>
      </c>
    </row>
    <row r="26" ht="17" customHeight="1">
      <c r="D26" s="120">
        <f>D25+1</f>
        <v/>
      </c>
      <c r="E26" s="136" t="n"/>
      <c r="F26" s="129" t="n"/>
      <c r="G26" s="129" t="n"/>
      <c r="H26" s="129" t="n"/>
      <c r="I26" s="129" t="inlineStr">
        <is>
          <t>0/1</t>
        </is>
      </c>
      <c r="J26" s="129" t="inlineStr">
        <is>
          <t>0/1</t>
        </is>
      </c>
      <c r="K26" s="129" t="inlineStr">
        <is>
          <t>0/1</t>
        </is>
      </c>
      <c r="L26" s="129" t="n"/>
      <c r="M26" s="129" t="n"/>
      <c r="N26" s="129" t="n"/>
      <c r="O26" s="129" t="n"/>
      <c r="P26" s="129" t="n"/>
      <c r="Q26" s="129" t="n"/>
      <c r="R26" s="129" t="n"/>
      <c r="S26" s="129" t="n">
        <v>1</v>
      </c>
      <c r="T26" s="129" t="n"/>
      <c r="U26" s="129" t="n"/>
      <c r="V26" s="129" t="inlineStr">
        <is>
          <t>0/1</t>
        </is>
      </c>
      <c r="W26" s="129" t="n"/>
      <c r="X26" s="128" t="n"/>
      <c r="Y26" s="131" t="n"/>
      <c r="Z26" s="128" t="n">
        <v>-1</v>
      </c>
      <c r="AA26" s="128" t="n"/>
      <c r="AB26" s="125">
        <f>AB31</f>
        <v/>
      </c>
      <c r="AC26" s="122">
        <f>AB30</f>
        <v/>
      </c>
    </row>
    <row r="27" ht="17" customHeight="1">
      <c r="D27" s="120">
        <f>D26+1</f>
        <v/>
      </c>
      <c r="E27" s="136" t="n"/>
      <c r="F27" s="129" t="n"/>
      <c r="G27" s="129" t="n"/>
      <c r="H27" s="129" t="n"/>
      <c r="I27" s="129" t="inlineStr">
        <is>
          <t>-1/1</t>
        </is>
      </c>
      <c r="J27" s="129" t="inlineStr">
        <is>
          <t>-1/1</t>
        </is>
      </c>
      <c r="K27" s="129" t="inlineStr">
        <is>
          <t>-1/1</t>
        </is>
      </c>
      <c r="L27" s="129" t="n"/>
      <c r="M27" s="129" t="n"/>
      <c r="N27" s="129" t="n"/>
      <c r="O27" s="129" t="n"/>
      <c r="P27" s="129" t="n"/>
      <c r="Q27" s="129" t="n"/>
      <c r="R27" s="129" t="n"/>
      <c r="S27" s="129" t="n">
        <v>1</v>
      </c>
      <c r="T27" s="129" t="n"/>
      <c r="U27" s="129" t="n">
        <v>1</v>
      </c>
      <c r="V27" s="129" t="n"/>
      <c r="W27" s="129" t="n"/>
      <c r="X27" s="128" t="n"/>
      <c r="Y27" s="131" t="n"/>
      <c r="Z27" s="128" t="n"/>
      <c r="AA27" s="128" t="n"/>
      <c r="AB27" s="128" t="n">
        <v>1</v>
      </c>
      <c r="AC27" s="125">
        <f>AC31</f>
        <v/>
      </c>
      <c r="AD27" s="122">
        <f>AC30</f>
        <v/>
      </c>
    </row>
    <row r="28" ht="15" customHeight="1">
      <c r="D28" s="120">
        <f>D27+1</f>
        <v/>
      </c>
      <c r="E28" s="136" t="inlineStr">
        <is>
          <t>-1/1</t>
        </is>
      </c>
      <c r="F28" s="129" t="n">
        <v>-1</v>
      </c>
      <c r="G28" s="129" t="n">
        <v>-1</v>
      </c>
      <c r="H28" s="129" t="n"/>
      <c r="I28" s="129" t="n"/>
      <c r="J28" s="129" t="n"/>
      <c r="K28" s="129" t="n">
        <v>-1</v>
      </c>
      <c r="L28" s="129" t="n"/>
      <c r="M28" s="129" t="n"/>
      <c r="N28" s="129" t="n"/>
      <c r="O28" s="129" t="n"/>
      <c r="P28" s="129" t="n"/>
      <c r="Q28" s="129" t="n"/>
      <c r="R28" s="129" t="n"/>
      <c r="S28" s="129" t="n"/>
      <c r="T28" s="129" t="n"/>
      <c r="U28" s="129" t="n"/>
      <c r="V28" s="129" t="n"/>
      <c r="W28" s="129" t="n"/>
      <c r="X28" s="128" t="n"/>
      <c r="Y28" s="134" t="n"/>
      <c r="Z28" s="137" t="n"/>
      <c r="AA28" s="137" t="n">
        <v>2</v>
      </c>
      <c r="AB28" s="137" t="n">
        <v>1</v>
      </c>
      <c r="AC28" s="128" t="n">
        <v>-1</v>
      </c>
      <c r="AD28" s="138">
        <f>AD31</f>
        <v/>
      </c>
      <c r="AE28" s="120">
        <f>AD30</f>
        <v/>
      </c>
    </row>
    <row r="29" ht="15" customHeight="1">
      <c r="D29" s="139" t="inlineStr">
        <is>
          <t>ID</t>
        </is>
      </c>
      <c r="E29" s="136" t="n">
        <v>1</v>
      </c>
      <c r="F29" s="131">
        <f>E29+1</f>
        <v/>
      </c>
      <c r="G29" s="131">
        <f>F29+1</f>
        <v/>
      </c>
      <c r="H29" s="131">
        <f>G29+1</f>
        <v/>
      </c>
      <c r="I29" s="131">
        <f>H29+1</f>
        <v/>
      </c>
      <c r="J29" s="131">
        <f>I29+1</f>
        <v/>
      </c>
      <c r="K29" s="131">
        <f>J29+1</f>
        <v/>
      </c>
      <c r="L29" s="131">
        <f>K29+1</f>
        <v/>
      </c>
      <c r="M29" s="131">
        <f>L29+1</f>
        <v/>
      </c>
      <c r="N29" s="131">
        <f>M29+1</f>
        <v/>
      </c>
      <c r="O29" s="131">
        <f>N29+1</f>
        <v/>
      </c>
      <c r="P29" s="131">
        <f>O29+1</f>
        <v/>
      </c>
      <c r="Q29" s="131">
        <f>P29+1</f>
        <v/>
      </c>
      <c r="R29" s="131">
        <f>Q29+1</f>
        <v/>
      </c>
      <c r="S29" s="131">
        <f>R29+1</f>
        <v/>
      </c>
      <c r="T29" s="131">
        <f>S29+1</f>
        <v/>
      </c>
      <c r="U29" s="131">
        <f>T29+1</f>
        <v/>
      </c>
      <c r="V29" s="131">
        <f>U29+1</f>
        <v/>
      </c>
      <c r="W29" s="131">
        <f>V29+1</f>
        <v/>
      </c>
      <c r="X29" s="131">
        <f>W29+1</f>
        <v/>
      </c>
      <c r="Y29" s="131">
        <f>X29+1</f>
        <v/>
      </c>
      <c r="Z29" s="131">
        <f>Y29+1</f>
        <v/>
      </c>
      <c r="AA29" s="131">
        <f>Z29+1</f>
        <v/>
      </c>
      <c r="AB29" s="131">
        <f>AA29+1</f>
        <v/>
      </c>
      <c r="AC29" s="128">
        <f>AB29+1</f>
        <v/>
      </c>
      <c r="AD29" s="140">
        <f>AC29+1</f>
        <v/>
      </c>
      <c r="AE29" s="117" t="inlineStr">
        <is>
          <t>Engineering Characteristics</t>
        </is>
      </c>
      <c r="AF29" s="117" t="n"/>
      <c r="AG29" s="117" t="n"/>
    </row>
    <row r="30" ht="191.25" customHeight="1">
      <c r="D30" s="141" t="inlineStr">
        <is>
          <t>Relative Importance</t>
        </is>
      </c>
      <c r="E30" s="142" t="inlineStr">
        <is>
          <t>Maximum Speed</t>
        </is>
      </c>
      <c r="F30" s="143" t="inlineStr">
        <is>
          <t>Maximum Acceleration</t>
        </is>
      </c>
      <c r="G30" s="143" t="inlineStr">
        <is>
          <t>CPU</t>
        </is>
      </c>
      <c r="H30" s="143" t="inlineStr">
        <is>
          <t># Microcontrollers</t>
        </is>
      </c>
      <c r="I30" s="143" t="inlineStr">
        <is>
          <t>Number of Sensor Ports Type A</t>
        </is>
      </c>
      <c r="J30" s="143" t="inlineStr">
        <is>
          <t>Number of Sensor Ports Type B</t>
        </is>
      </c>
      <c r="K30" s="143" t="inlineStr">
        <is>
          <t>Number of Sensor Ports Type C</t>
        </is>
      </c>
      <c r="L30" s="143" t="inlineStr">
        <is>
          <t>Navigation Sensors Quality</t>
        </is>
      </c>
      <c r="M30" s="143" t="inlineStr">
        <is>
          <t>Sensor Filter Quality</t>
        </is>
      </c>
      <c r="N30" s="143" t="inlineStr">
        <is>
          <t>Area Map Precision</t>
        </is>
      </c>
      <c r="O30" s="143" t="inlineStr">
        <is>
          <t>Path Planning Quality</t>
        </is>
      </c>
      <c r="P30" s="143" t="inlineStr">
        <is>
          <t>Path Planning Frequency</t>
        </is>
      </c>
      <c r="Q30" s="143" t="inlineStr">
        <is>
          <t>Controls / Path Following Accuracy</t>
        </is>
      </c>
      <c r="R30" s="143" t="inlineStr">
        <is>
          <t>Controls Quality</t>
        </is>
      </c>
      <c r="S30" s="143" t="inlineStr">
        <is>
          <t>Structural Material &amp; Parts Costs</t>
        </is>
      </c>
      <c r="T30" s="143" t="inlineStr">
        <is>
          <t>Structural Repair Costs</t>
        </is>
      </c>
      <c r="U30" s="143" t="inlineStr">
        <is>
          <t>Electrical Parts Costs</t>
        </is>
      </c>
      <c r="V30" s="143" t="inlineStr">
        <is>
          <t>Electrical Repair  Costs</t>
        </is>
      </c>
      <c r="W30" s="143" t="inlineStr">
        <is>
          <t>Initialization &amp; Calibration Time</t>
        </is>
      </c>
      <c r="X30" s="144" t="inlineStr">
        <is>
          <t>Assembly Time</t>
        </is>
      </c>
      <c r="Y30" s="145" t="inlineStr">
        <is>
          <t>Manufacture Time</t>
        </is>
      </c>
      <c r="Z30" s="144" t="inlineStr">
        <is>
          <t>Frame Strength</t>
        </is>
      </c>
      <c r="AA30" s="144" t="inlineStr">
        <is>
          <t>Max Payload Weight</t>
        </is>
      </c>
      <c r="AB30" s="144" t="inlineStr">
        <is>
          <t>Max Payload Size</t>
        </is>
      </c>
      <c r="AC30" s="144" t="inlineStr">
        <is>
          <t>Sensor Bay Size</t>
        </is>
      </c>
      <c r="AD30" s="146" t="inlineStr">
        <is>
          <t>Battery Capacity</t>
        </is>
      </c>
      <c r="AE30" s="147" t="inlineStr">
        <is>
          <t>Customer Perception / Performance Scores</t>
        </is>
      </c>
      <c r="AF30" s="43" t="n"/>
      <c r="AG30" s="43" t="n"/>
      <c r="AH30" s="43" t="n"/>
      <c r="AI30" s="43" t="n"/>
      <c r="AJ30" s="43" t="n"/>
      <c r="AK30" s="43" t="n"/>
      <c r="AL30" s="43" t="n"/>
      <c r="AM30" s="43" t="n"/>
      <c r="AN30" s="43" t="n"/>
    </row>
    <row r="31" ht="15.75" customHeight="1">
      <c r="B31" s="117" t="inlineStr">
        <is>
          <t>Performance Measures / Customer Attributes</t>
        </is>
      </c>
      <c r="C31" s="139" t="inlineStr">
        <is>
          <t>Direction of Change</t>
        </is>
      </c>
      <c r="D31" s="148" t="n"/>
      <c r="E31" s="149" t="inlineStr">
        <is>
          <t>↑</t>
        </is>
      </c>
      <c r="F31" s="150" t="inlineStr">
        <is>
          <t>↑</t>
        </is>
      </c>
      <c r="G31" s="150" t="inlineStr">
        <is>
          <t>↑</t>
        </is>
      </c>
      <c r="H31" s="150" t="inlineStr">
        <is>
          <t>↑</t>
        </is>
      </c>
      <c r="I31" s="150" t="inlineStr">
        <is>
          <t>↑</t>
        </is>
      </c>
      <c r="J31" s="150" t="inlineStr">
        <is>
          <t>↑</t>
        </is>
      </c>
      <c r="K31" s="150" t="inlineStr">
        <is>
          <t>↑</t>
        </is>
      </c>
      <c r="L31" s="150" t="inlineStr">
        <is>
          <t>↑</t>
        </is>
      </c>
      <c r="M31" s="150" t="inlineStr">
        <is>
          <t>↑</t>
        </is>
      </c>
      <c r="N31" s="150" t="inlineStr">
        <is>
          <t>↑</t>
        </is>
      </c>
      <c r="O31" s="150" t="inlineStr">
        <is>
          <t>↑</t>
        </is>
      </c>
      <c r="P31" s="150" t="inlineStr">
        <is>
          <t>↑</t>
        </is>
      </c>
      <c r="Q31" s="150" t="inlineStr">
        <is>
          <t>↑</t>
        </is>
      </c>
      <c r="R31" s="150" t="inlineStr">
        <is>
          <t>↑</t>
        </is>
      </c>
      <c r="S31" s="151" t="inlineStr">
        <is>
          <t>↓</t>
        </is>
      </c>
      <c r="T31" s="151" t="inlineStr">
        <is>
          <t>↓</t>
        </is>
      </c>
      <c r="U31" s="151" t="inlineStr">
        <is>
          <t>↓</t>
        </is>
      </c>
      <c r="V31" s="151" t="inlineStr">
        <is>
          <t>↓</t>
        </is>
      </c>
      <c r="W31" s="151" t="inlineStr">
        <is>
          <t>↓</t>
        </is>
      </c>
      <c r="X31" s="151" t="inlineStr">
        <is>
          <t>↓</t>
        </is>
      </c>
      <c r="Y31" s="151" t="inlineStr">
        <is>
          <t>↓</t>
        </is>
      </c>
      <c r="Z31" s="150" t="inlineStr">
        <is>
          <t>↑</t>
        </is>
      </c>
      <c r="AA31" s="150" t="inlineStr">
        <is>
          <t>↑</t>
        </is>
      </c>
      <c r="AB31" s="150" t="inlineStr">
        <is>
          <t>↑</t>
        </is>
      </c>
      <c r="AC31" s="150" t="inlineStr">
        <is>
          <t>↑</t>
        </is>
      </c>
      <c r="AD31" s="152" t="inlineStr">
        <is>
          <t>↑</t>
        </is>
      </c>
      <c r="AE31" s="153" t="inlineStr">
        <is>
          <t>Normalized &amp; Unweighted</t>
        </is>
      </c>
      <c r="AF31" s="34" t="n"/>
      <c r="AG31" s="34" t="n"/>
      <c r="AH31" s="34" t="n"/>
      <c r="AI31" s="35" t="n"/>
      <c r="AJ31" s="153" t="inlineStr">
        <is>
          <t>Normalized &amp; Weighted</t>
        </is>
      </c>
      <c r="AK31" s="34" t="n"/>
      <c r="AL31" s="34" t="n"/>
      <c r="AM31" s="34" t="n"/>
      <c r="AN31" s="35" t="n"/>
    </row>
    <row r="32" ht="17" customHeight="1">
      <c r="A32" s="139" t="inlineStr">
        <is>
          <t>ID</t>
        </is>
      </c>
      <c r="B32" s="154" t="inlineStr">
        <is>
          <t>Full Attribute/Goal/Add'l Info</t>
        </is>
      </c>
      <c r="C32" s="154" t="inlineStr">
        <is>
          <t>Short Name</t>
        </is>
      </c>
      <c r="D32" s="155">
        <f>SUM(D33:D44)</f>
        <v/>
      </c>
      <c r="E32" s="156" t="n"/>
      <c r="F32" s="157" t="n"/>
      <c r="G32" s="157" t="n"/>
      <c r="H32" s="157" t="n"/>
      <c r="I32" s="157" t="n"/>
      <c r="J32" s="157" t="n"/>
      <c r="K32" s="157" t="n"/>
      <c r="L32" s="157" t="n"/>
      <c r="M32" s="157" t="n"/>
      <c r="N32" s="157" t="n"/>
      <c r="O32" s="157" t="n"/>
      <c r="P32" s="157" t="n"/>
      <c r="Q32" s="157" t="n"/>
      <c r="R32" s="157" t="n"/>
      <c r="S32" s="157" t="n"/>
      <c r="T32" s="157" t="n"/>
      <c r="U32" s="157" t="n"/>
      <c r="V32" s="157" t="n"/>
      <c r="W32" s="157" t="n"/>
      <c r="X32" s="157" t="n"/>
      <c r="Y32" s="157" t="n"/>
      <c r="Z32" s="157" t="n"/>
      <c r="AA32" s="157" t="n"/>
      <c r="AB32" s="157" t="n"/>
      <c r="AC32" s="157" t="n"/>
      <c r="AD32" s="158" t="n"/>
      <c r="AE32" s="159" t="inlineStr">
        <is>
          <t>A(low)</t>
        </is>
      </c>
      <c r="AF32" s="160" t="inlineStr">
        <is>
          <t>A(high)</t>
        </is>
      </c>
      <c r="AG32" s="160" t="inlineStr">
        <is>
          <t>A(target)</t>
        </is>
      </c>
      <c r="AH32" s="161" t="inlineStr">
        <is>
          <t>B</t>
        </is>
      </c>
      <c r="AI32" s="161" t="inlineStr">
        <is>
          <t>C</t>
        </is>
      </c>
      <c r="AJ32" s="159" t="inlineStr">
        <is>
          <t>A(low)</t>
        </is>
      </c>
      <c r="AK32" s="160" t="inlineStr">
        <is>
          <t>A(high)</t>
        </is>
      </c>
      <c r="AL32" s="162" t="inlineStr">
        <is>
          <t>A(target)</t>
        </is>
      </c>
      <c r="AM32" s="163" t="inlineStr">
        <is>
          <t>B</t>
        </is>
      </c>
      <c r="AN32" s="164" t="inlineStr">
        <is>
          <t>C</t>
        </is>
      </c>
      <c r="AP32" s="155" t="n"/>
    </row>
    <row r="33">
      <c r="A33" s="120" t="n">
        <v>1</v>
      </c>
      <c r="B33" s="165" t="n"/>
      <c r="C33" s="166" t="inlineStr">
        <is>
          <t>Time to accomplish tasks</t>
        </is>
      </c>
      <c r="D33" s="167" t="n">
        <v>13.51351351351351</v>
      </c>
      <c r="E33" s="168" t="n">
        <v>2</v>
      </c>
      <c r="F33" s="169" t="n">
        <v>1</v>
      </c>
      <c r="G33" s="169" t="n">
        <v>1</v>
      </c>
      <c r="H33" s="169" t="n">
        <v>1</v>
      </c>
      <c r="I33" s="169" t="n"/>
      <c r="J33" s="169" t="n"/>
      <c r="K33" s="169" t="n"/>
      <c r="L33" s="169" t="n">
        <v>1</v>
      </c>
      <c r="M33" s="169" t="n">
        <v>-1</v>
      </c>
      <c r="N33" s="169" t="n">
        <v>1</v>
      </c>
      <c r="O33" s="169" t="n">
        <v>1</v>
      </c>
      <c r="P33" s="169" t="n"/>
      <c r="Q33" s="169" t="n">
        <v>1</v>
      </c>
      <c r="R33" s="169" t="n">
        <v>1</v>
      </c>
      <c r="S33" s="169" t="n"/>
      <c r="T33" s="169" t="n"/>
      <c r="U33" s="169" t="n"/>
      <c r="V33" s="169" t="n"/>
      <c r="W33" s="169" t="n"/>
      <c r="X33" s="169" t="n"/>
      <c r="Y33" s="169" t="n"/>
      <c r="Z33" s="169" t="n"/>
      <c r="AA33" s="169" t="n"/>
      <c r="AB33" s="169" t="n"/>
      <c r="AC33" s="169" t="n"/>
      <c r="AD33" s="170" t="n"/>
      <c r="AE33" s="171" t="n">
        <v>2</v>
      </c>
      <c r="AF33" s="172" t="n">
        <v>5</v>
      </c>
      <c r="AG33" s="172" t="n">
        <v>3</v>
      </c>
      <c r="AH33" s="172" t="n">
        <v>5</v>
      </c>
      <c r="AI33" s="173" t="n">
        <v>2</v>
      </c>
      <c r="AJ33" s="174">
        <f>AE33*$D33</f>
        <v/>
      </c>
      <c r="AK33" s="175">
        <f>AF33*$D33</f>
        <v/>
      </c>
      <c r="AL33" s="175">
        <f>AG33*$D33</f>
        <v/>
      </c>
      <c r="AM33" s="175">
        <f>AH33*$D33</f>
        <v/>
      </c>
      <c r="AN33" s="176">
        <f>AI33*$D33</f>
        <v/>
      </c>
    </row>
    <row r="34">
      <c r="A34" s="120">
        <f>A33+1</f>
        <v/>
      </c>
      <c r="B34" s="177" t="inlineStr">
        <is>
          <t>Accuracy, time, opt route plan, uncertainty handle</t>
        </is>
      </c>
      <c r="C34" s="178" t="inlineStr">
        <is>
          <t>Navigation</t>
        </is>
      </c>
      <c r="D34" s="179" t="n">
        <v>10.81081081081081</v>
      </c>
      <c r="E34" s="180" t="n">
        <v>-1</v>
      </c>
      <c r="F34" s="181" t="n">
        <v>1</v>
      </c>
      <c r="G34" s="181" t="n">
        <v>1</v>
      </c>
      <c r="H34" s="181" t="n"/>
      <c r="I34" s="181" t="n"/>
      <c r="J34" s="181" t="n"/>
      <c r="K34" s="181" t="n">
        <v>1</v>
      </c>
      <c r="L34" s="181" t="n">
        <v>2</v>
      </c>
      <c r="M34" s="181" t="n"/>
      <c r="N34" s="181" t="n">
        <v>2</v>
      </c>
      <c r="O34" s="181" t="n">
        <v>2</v>
      </c>
      <c r="P34" s="181" t="n">
        <v>1</v>
      </c>
      <c r="Q34" s="181" t="n">
        <v>2</v>
      </c>
      <c r="R34" s="181" t="n">
        <v>1</v>
      </c>
      <c r="S34" s="181" t="n"/>
      <c r="T34" s="181" t="n"/>
      <c r="U34" s="181" t="n"/>
      <c r="V34" s="181" t="n"/>
      <c r="W34" s="181" t="n"/>
      <c r="X34" s="181" t="n"/>
      <c r="Y34" s="181" t="n"/>
      <c r="Z34" s="181" t="n"/>
      <c r="AA34" s="181" t="n"/>
      <c r="AB34" s="181" t="n">
        <v>-1</v>
      </c>
      <c r="AC34" s="181" t="n">
        <v>1</v>
      </c>
      <c r="AD34" s="182" t="n"/>
      <c r="AE34" s="183" t="n">
        <v>2</v>
      </c>
      <c r="AF34" s="184" t="n">
        <v>4</v>
      </c>
      <c r="AG34" s="184" t="n">
        <v>4</v>
      </c>
      <c r="AH34" s="184" t="n">
        <v>4</v>
      </c>
      <c r="AI34" s="185" t="n">
        <v>4</v>
      </c>
      <c r="AJ34" s="186">
        <f>AE34*$D34</f>
        <v/>
      </c>
      <c r="AK34" s="187">
        <f>AF34*$D34</f>
        <v/>
      </c>
      <c r="AL34" s="187">
        <f>AG34*$D34</f>
        <v/>
      </c>
      <c r="AM34" s="187">
        <f>AH34*$D34</f>
        <v/>
      </c>
      <c r="AN34" s="188">
        <f>AI34*$D34</f>
        <v/>
      </c>
    </row>
    <row r="35">
      <c r="A35" s="120">
        <f>A34+1</f>
        <v/>
      </c>
      <c r="B35" s="189" t="n"/>
      <c r="C35" s="190" t="inlineStr">
        <is>
          <t>Structural integrity</t>
        </is>
      </c>
      <c r="D35" s="179" t="n">
        <v>8.108108108108109</v>
      </c>
      <c r="E35" s="180" t="n">
        <v>-1</v>
      </c>
      <c r="F35" s="181" t="n"/>
      <c r="G35" s="181" t="n"/>
      <c r="H35" s="181" t="n"/>
      <c r="I35" s="181" t="n"/>
      <c r="J35" s="181" t="n"/>
      <c r="K35" s="181" t="n"/>
      <c r="L35" s="181" t="n"/>
      <c r="M35" s="181" t="n"/>
      <c r="N35" s="181" t="n"/>
      <c r="O35" s="181" t="n"/>
      <c r="P35" s="181" t="n"/>
      <c r="Q35" s="181" t="n"/>
      <c r="R35" s="181" t="n"/>
      <c r="S35" s="181" t="n">
        <v>-2</v>
      </c>
      <c r="T35" s="181" t="n"/>
      <c r="U35" s="181" t="n"/>
      <c r="V35" s="181" t="n"/>
      <c r="W35" s="181" t="n"/>
      <c r="X35" s="181" t="n"/>
      <c r="Y35" s="181" t="n"/>
      <c r="Z35" s="181" t="n">
        <v>2</v>
      </c>
      <c r="AA35" s="181" t="n">
        <v>-1</v>
      </c>
      <c r="AB35" s="181" t="n"/>
      <c r="AC35" s="181" t="n"/>
      <c r="AD35" s="182" t="n"/>
      <c r="AE35" s="183" t="n">
        <v>3</v>
      </c>
      <c r="AF35" s="184" t="n">
        <v>5</v>
      </c>
      <c r="AG35" s="184" t="n">
        <v>5</v>
      </c>
      <c r="AH35" s="184" t="n">
        <v>3</v>
      </c>
      <c r="AI35" s="185" t="n">
        <v>5</v>
      </c>
      <c r="AJ35" s="186">
        <f>AE35*$D35</f>
        <v/>
      </c>
      <c r="AK35" s="187">
        <f>AF35*$D35</f>
        <v/>
      </c>
      <c r="AL35" s="187">
        <f>AG35*$D35</f>
        <v/>
      </c>
      <c r="AM35" s="187">
        <f>AH35*$D35</f>
        <v/>
      </c>
      <c r="AN35" s="188">
        <f>AI35*$D35</f>
        <v/>
      </c>
    </row>
    <row r="36">
      <c r="A36" s="120">
        <f>A35+1</f>
        <v/>
      </c>
      <c r="B36" s="189" t="inlineStr">
        <is>
          <t>How long can it run between battery charges</t>
        </is>
      </c>
      <c r="C36" s="190" t="inlineStr">
        <is>
          <t>Runtime</t>
        </is>
      </c>
      <c r="D36" s="179" t="n">
        <v>5.405405405405405</v>
      </c>
      <c r="E36" s="180" t="n">
        <v>-1</v>
      </c>
      <c r="F36" s="181" t="n">
        <v>-1</v>
      </c>
      <c r="G36" s="181" t="n"/>
      <c r="H36" s="181" t="n">
        <v>-1</v>
      </c>
      <c r="I36" s="181" t="n"/>
      <c r="J36" s="181" t="n"/>
      <c r="K36" s="181" t="n"/>
      <c r="L36" s="181" t="n"/>
      <c r="M36" s="181" t="n"/>
      <c r="N36" s="181" t="n"/>
      <c r="O36" s="181" t="n"/>
      <c r="P36" s="181" t="n"/>
      <c r="Q36" s="181" t="n"/>
      <c r="R36" s="181" t="n"/>
      <c r="S36" s="181" t="n"/>
      <c r="T36" s="181" t="n"/>
      <c r="U36" s="181" t="n"/>
      <c r="V36" s="181" t="n"/>
      <c r="W36" s="181" t="n">
        <v>1</v>
      </c>
      <c r="X36" s="181" t="n"/>
      <c r="Y36" s="181" t="n"/>
      <c r="Z36" s="181" t="n"/>
      <c r="AA36" s="181" t="n"/>
      <c r="AB36" s="181" t="n"/>
      <c r="AC36" s="181" t="n"/>
      <c r="AD36" s="182" t="n">
        <v>1</v>
      </c>
      <c r="AE36" s="183" t="n">
        <v>1</v>
      </c>
      <c r="AF36" s="184" t="n">
        <v>3</v>
      </c>
      <c r="AG36" s="184" t="n">
        <v>3</v>
      </c>
      <c r="AH36" s="184" t="n">
        <v>2</v>
      </c>
      <c r="AI36" s="185" t="n">
        <v>3</v>
      </c>
      <c r="AJ36" s="186">
        <f>AE36*$D36</f>
        <v/>
      </c>
      <c r="AK36" s="187">
        <f>AF36*$D36</f>
        <v/>
      </c>
      <c r="AL36" s="187">
        <f>AG36*$D36</f>
        <v/>
      </c>
      <c r="AM36" s="187">
        <f>AH36*$D36</f>
        <v/>
      </c>
      <c r="AN36" s="188">
        <f>AI36*$D36</f>
        <v/>
      </c>
    </row>
    <row r="37">
      <c r="A37" s="120">
        <f>A36+1</f>
        <v/>
      </c>
      <c r="B37" s="189" t="inlineStr">
        <is>
          <t>Ability to get good, useful data readings</t>
        </is>
      </c>
      <c r="C37" s="190" t="inlineStr">
        <is>
          <t>Measurement accuracy</t>
        </is>
      </c>
      <c r="D37" s="179" t="n">
        <v>13.51351351351351</v>
      </c>
      <c r="E37" s="180" t="n"/>
      <c r="F37" s="181" t="n"/>
      <c r="G37" s="181" t="n">
        <v>2</v>
      </c>
      <c r="H37" s="181" t="n"/>
      <c r="I37" s="181" t="n">
        <v>2</v>
      </c>
      <c r="J37" s="181" t="n">
        <v>1</v>
      </c>
      <c r="K37" s="181" t="n">
        <v>1</v>
      </c>
      <c r="L37" s="181" t="n"/>
      <c r="M37" s="181" t="n">
        <v>2</v>
      </c>
      <c r="N37" s="181" t="n"/>
      <c r="O37" s="181" t="n"/>
      <c r="P37" s="181" t="n"/>
      <c r="Q37" s="181" t="n"/>
      <c r="R37" s="181" t="n">
        <v>1</v>
      </c>
      <c r="S37" s="181" t="n"/>
      <c r="T37" s="181" t="n"/>
      <c r="U37" s="181" t="n"/>
      <c r="V37" s="181" t="n"/>
      <c r="W37" s="181" t="n"/>
      <c r="X37" s="181" t="n"/>
      <c r="Y37" s="181" t="n"/>
      <c r="Z37" s="181" t="n"/>
      <c r="AA37" s="181" t="n"/>
      <c r="AB37" s="181" t="n"/>
      <c r="AC37" s="181" t="n">
        <v>1</v>
      </c>
      <c r="AD37" s="182" t="n"/>
      <c r="AE37" s="183" t="n">
        <v>2</v>
      </c>
      <c r="AF37" s="184" t="n">
        <v>5</v>
      </c>
      <c r="AG37" s="184" t="n">
        <v>5</v>
      </c>
      <c r="AH37" s="184" t="n">
        <v>3</v>
      </c>
      <c r="AI37" s="185" t="n">
        <v>5</v>
      </c>
      <c r="AJ37" s="186">
        <f>AE37*$D37</f>
        <v/>
      </c>
      <c r="AK37" s="187">
        <f>AF37*$D37</f>
        <v/>
      </c>
      <c r="AL37" s="187">
        <f>AG37*$D37</f>
        <v/>
      </c>
      <c r="AM37" s="187">
        <f>AH37*$D37</f>
        <v/>
      </c>
      <c r="AN37" s="188">
        <f>AI37*$D37</f>
        <v/>
      </c>
    </row>
    <row r="38">
      <c r="A38" s="120">
        <f>A37+1</f>
        <v/>
      </c>
      <c r="B38" s="189" t="inlineStr">
        <is>
          <t>Size and weight</t>
        </is>
      </c>
      <c r="C38" s="190" t="inlineStr">
        <is>
          <t>Maximum payload</t>
        </is>
      </c>
      <c r="D38" s="179" t="n">
        <v>5.405405405405405</v>
      </c>
      <c r="E38" s="180" t="n">
        <v>-1</v>
      </c>
      <c r="F38" s="181" t="n">
        <v>-1</v>
      </c>
      <c r="G38" s="181" t="n"/>
      <c r="H38" s="181" t="n"/>
      <c r="I38" s="181" t="n"/>
      <c r="J38" s="181" t="n"/>
      <c r="K38" s="181" t="n"/>
      <c r="L38" s="181" t="n"/>
      <c r="M38" s="181" t="n"/>
      <c r="N38" s="181" t="n"/>
      <c r="O38" s="181" t="n"/>
      <c r="P38" s="181" t="n"/>
      <c r="Q38" s="181" t="n"/>
      <c r="R38" s="181" t="n"/>
      <c r="S38" s="181" t="n"/>
      <c r="T38" s="181" t="n"/>
      <c r="U38" s="181" t="n"/>
      <c r="V38" s="181" t="n"/>
      <c r="W38" s="181" t="n"/>
      <c r="X38" s="181" t="n"/>
      <c r="Y38" s="181" t="n"/>
      <c r="Z38" s="181" t="n"/>
      <c r="AA38" s="181" t="n">
        <v>2</v>
      </c>
      <c r="AB38" s="181" t="n">
        <v>2</v>
      </c>
      <c r="AC38" s="181" t="n">
        <v>1</v>
      </c>
      <c r="AD38" s="182" t="n"/>
      <c r="AE38" s="183" t="n">
        <v>3</v>
      </c>
      <c r="AF38" s="184" t="n">
        <v>4</v>
      </c>
      <c r="AG38" s="184" t="n">
        <v>4</v>
      </c>
      <c r="AH38" s="184" t="n">
        <v>3</v>
      </c>
      <c r="AI38" s="185" t="n">
        <v>4</v>
      </c>
      <c r="AJ38" s="186">
        <f>AE38*$D38</f>
        <v/>
      </c>
      <c r="AK38" s="187">
        <f>AF38*$D38</f>
        <v/>
      </c>
      <c r="AL38" s="187">
        <f>AG38*$D38</f>
        <v/>
      </c>
      <c r="AM38" s="187">
        <f>AH38*$D38</f>
        <v/>
      </c>
      <c r="AN38" s="188">
        <f>AI38*$D38</f>
        <v/>
      </c>
    </row>
    <row r="39">
      <c r="A39" s="120">
        <f>A38+1</f>
        <v/>
      </c>
      <c r="B39" s="189" t="inlineStr">
        <is>
          <t>Number and variety of sensors that can be accommodated</t>
        </is>
      </c>
      <c r="C39" s="190" t="inlineStr">
        <is>
          <t xml:space="preserve">Sensor loadout accommodations </t>
        </is>
      </c>
      <c r="D39" s="179" t="n">
        <v>10.81081081081081</v>
      </c>
      <c r="E39" s="180" t="n"/>
      <c r="F39" s="181" t="n"/>
      <c r="G39" s="181" t="n">
        <v>1</v>
      </c>
      <c r="H39" s="181" t="n">
        <v>2</v>
      </c>
      <c r="I39" s="181" t="n">
        <v>1</v>
      </c>
      <c r="J39" s="181" t="n">
        <v>2</v>
      </c>
      <c r="K39" s="181" t="n">
        <v>1</v>
      </c>
      <c r="L39" s="181" t="n">
        <v>-1</v>
      </c>
      <c r="M39" s="181" t="n">
        <v>-1</v>
      </c>
      <c r="N39" s="181" t="n"/>
      <c r="O39" s="181" t="n"/>
      <c r="P39" s="181" t="n"/>
      <c r="Q39" s="181" t="n"/>
      <c r="R39" s="181" t="n"/>
      <c r="S39" s="181" t="n"/>
      <c r="T39" s="181" t="n"/>
      <c r="U39" s="181" t="n"/>
      <c r="V39" s="181" t="n"/>
      <c r="W39" s="181" t="n">
        <v>1</v>
      </c>
      <c r="X39" s="181" t="n"/>
      <c r="Y39" s="181" t="n"/>
      <c r="Z39" s="181" t="n"/>
      <c r="AA39" s="181" t="n">
        <v>2</v>
      </c>
      <c r="AB39" s="181" t="n">
        <v>2</v>
      </c>
      <c r="AC39" s="181" t="n">
        <v>2</v>
      </c>
      <c r="AD39" s="182" t="n"/>
      <c r="AE39" s="183" t="n">
        <v>2</v>
      </c>
      <c r="AF39" s="184" t="n">
        <v>4</v>
      </c>
      <c r="AG39" s="184" t="n">
        <v>4</v>
      </c>
      <c r="AH39" s="184" t="n">
        <v>2</v>
      </c>
      <c r="AI39" s="185" t="n">
        <v>4</v>
      </c>
      <c r="AJ39" s="186">
        <f>AE39*$D39</f>
        <v/>
      </c>
      <c r="AK39" s="187">
        <f>AF39*$D39</f>
        <v/>
      </c>
      <c r="AL39" s="187">
        <f>AG39*$D39</f>
        <v/>
      </c>
      <c r="AM39" s="187">
        <f>AH39*$D39</f>
        <v/>
      </c>
      <c r="AN39" s="188">
        <f>AI39*$D39</f>
        <v/>
      </c>
    </row>
    <row r="40">
      <c r="A40" s="120">
        <f>A39+1</f>
        <v/>
      </c>
      <c r="B40" s="189" t="n"/>
      <c r="C40" s="190" t="inlineStr">
        <is>
          <t>Time to switch sensor loadouts</t>
        </is>
      </c>
      <c r="D40" s="179" t="n">
        <v>2.702702702702703</v>
      </c>
      <c r="E40" s="180" t="n"/>
      <c r="F40" s="181" t="n"/>
      <c r="G40" s="181" t="n"/>
      <c r="H40" s="181" t="n">
        <v>1</v>
      </c>
      <c r="I40" s="181" t="n">
        <v>1</v>
      </c>
      <c r="J40" s="181" t="n">
        <v>1</v>
      </c>
      <c r="K40" s="181" t="n">
        <v>1</v>
      </c>
      <c r="L40" s="181" t="n"/>
      <c r="M40" s="181" t="n"/>
      <c r="N40" s="181" t="n"/>
      <c r="O40" s="181" t="n"/>
      <c r="P40" s="181" t="n"/>
      <c r="Q40" s="181" t="n"/>
      <c r="R40" s="181" t="n"/>
      <c r="S40" s="181" t="n"/>
      <c r="T40" s="181" t="n"/>
      <c r="U40" s="181" t="n"/>
      <c r="V40" s="181" t="n"/>
      <c r="W40" s="181" t="n"/>
      <c r="X40" s="181" t="n"/>
      <c r="Y40" s="181" t="n"/>
      <c r="Z40" s="181" t="n"/>
      <c r="AA40" s="181" t="n"/>
      <c r="AB40" s="181" t="n"/>
      <c r="AC40" s="181" t="n">
        <v>1</v>
      </c>
      <c r="AD40" s="182" t="n"/>
      <c r="AE40" s="183" t="n">
        <v>2</v>
      </c>
      <c r="AF40" s="184" t="n">
        <v>3</v>
      </c>
      <c r="AG40" s="184" t="n">
        <v>2</v>
      </c>
      <c r="AH40" s="184" t="n">
        <v>3</v>
      </c>
      <c r="AI40" s="185" t="n">
        <v>2</v>
      </c>
      <c r="AJ40" s="186">
        <f>AE40*$D40</f>
        <v/>
      </c>
      <c r="AK40" s="187">
        <f>AF40*$D40</f>
        <v/>
      </c>
      <c r="AL40" s="187">
        <f>AG40*$D40</f>
        <v/>
      </c>
      <c r="AM40" s="187">
        <f>AH40*$D40</f>
        <v/>
      </c>
      <c r="AN40" s="188">
        <f>AI40*$D40</f>
        <v/>
      </c>
    </row>
    <row r="41">
      <c r="A41" s="120">
        <f>A40+1</f>
        <v/>
      </c>
      <c r="B41" s="189" t="inlineStr">
        <is>
          <t>Mean time between failures</t>
        </is>
      </c>
      <c r="C41" s="190" t="inlineStr">
        <is>
          <t>Robustness</t>
        </is>
      </c>
      <c r="D41" s="179" t="n">
        <v>8.108108108108109</v>
      </c>
      <c r="E41" s="180" t="n"/>
      <c r="F41" s="181" t="n"/>
      <c r="G41" s="181" t="n"/>
      <c r="H41" s="181" t="n"/>
      <c r="I41" s="181" t="n"/>
      <c r="J41" s="181" t="n"/>
      <c r="K41" s="181" t="n"/>
      <c r="L41" s="181" t="n">
        <v>1</v>
      </c>
      <c r="M41" s="181" t="n"/>
      <c r="N41" s="181" t="n"/>
      <c r="O41" s="181" t="n">
        <v>1</v>
      </c>
      <c r="P41" s="181" t="n">
        <v>1</v>
      </c>
      <c r="Q41" s="181" t="n"/>
      <c r="R41" s="181" t="n">
        <v>1</v>
      </c>
      <c r="S41" s="181" t="n">
        <v>-1</v>
      </c>
      <c r="T41" s="181" t="n"/>
      <c r="U41" s="181" t="n">
        <v>-1</v>
      </c>
      <c r="V41" s="181" t="n"/>
      <c r="W41" s="181" t="n"/>
      <c r="X41" s="181" t="n"/>
      <c r="Y41" s="181" t="n"/>
      <c r="Z41" s="181" t="n">
        <v>2</v>
      </c>
      <c r="AA41" s="181" t="n"/>
      <c r="AB41" s="181" t="n"/>
      <c r="AC41" s="181" t="n"/>
      <c r="AD41" s="182" t="n">
        <v>1</v>
      </c>
      <c r="AE41" s="183" t="n">
        <v>2</v>
      </c>
      <c r="AF41" s="184" t="n">
        <v>4</v>
      </c>
      <c r="AG41" s="184" t="n">
        <v>4</v>
      </c>
      <c r="AH41" s="184" t="n">
        <v>3</v>
      </c>
      <c r="AI41" s="185" t="n">
        <v>4</v>
      </c>
      <c r="AJ41" s="186">
        <f>AE41*$D41</f>
        <v/>
      </c>
      <c r="AK41" s="187">
        <f>AF41*$D41</f>
        <v/>
      </c>
      <c r="AL41" s="187">
        <f>AG41*$D41</f>
        <v/>
      </c>
      <c r="AM41" s="187">
        <f>AH41*$D41</f>
        <v/>
      </c>
      <c r="AN41" s="188">
        <f>AI41*$D41</f>
        <v/>
      </c>
    </row>
    <row r="42">
      <c r="A42" s="120">
        <f>A41+1</f>
        <v/>
      </c>
      <c r="B42" s="189" t="inlineStr">
        <is>
          <t>Mean time to repair</t>
        </is>
      </c>
      <c r="C42" s="190" t="inlineStr">
        <is>
          <t>Maintenance</t>
        </is>
      </c>
      <c r="D42" s="179" t="n">
        <v>2.702702702702703</v>
      </c>
      <c r="E42" s="180" t="n">
        <v>-1</v>
      </c>
      <c r="F42" s="181" t="n"/>
      <c r="G42" s="181" t="n"/>
      <c r="H42" s="181" t="n">
        <v>-1</v>
      </c>
      <c r="I42" s="181" t="n"/>
      <c r="J42" s="181" t="n"/>
      <c r="K42" s="181" t="n"/>
      <c r="L42" s="181" t="n"/>
      <c r="M42" s="181" t="n"/>
      <c r="N42" s="181" t="n"/>
      <c r="O42" s="181" t="n"/>
      <c r="P42" s="181" t="n"/>
      <c r="Q42" s="181" t="n"/>
      <c r="R42" s="181" t="n"/>
      <c r="S42" s="181" t="n"/>
      <c r="T42" s="181" t="n">
        <v>1</v>
      </c>
      <c r="U42" s="181" t="n">
        <v>1</v>
      </c>
      <c r="V42" s="181" t="n">
        <v>1</v>
      </c>
      <c r="W42" s="181" t="n">
        <v>1</v>
      </c>
      <c r="X42" s="181" t="n">
        <v>1</v>
      </c>
      <c r="Y42" s="181" t="n"/>
      <c r="Z42" s="181" t="n"/>
      <c r="AA42" s="181" t="n"/>
      <c r="AB42" s="181" t="n"/>
      <c r="AC42" s="181" t="n"/>
      <c r="AD42" s="182" t="n"/>
      <c r="AE42" s="183" t="n">
        <v>2</v>
      </c>
      <c r="AF42" s="184" t="n">
        <v>3</v>
      </c>
      <c r="AG42" s="184" t="n">
        <v>2</v>
      </c>
      <c r="AH42" s="184" t="n">
        <v>3</v>
      </c>
      <c r="AI42" s="185" t="n">
        <v>2</v>
      </c>
      <c r="AJ42" s="186">
        <f>AE42*$D42</f>
        <v/>
      </c>
      <c r="AK42" s="187">
        <f>AF42*$D42</f>
        <v/>
      </c>
      <c r="AL42" s="187">
        <f>AG42*$D42</f>
        <v/>
      </c>
      <c r="AM42" s="187">
        <f>AH42*$D42</f>
        <v/>
      </c>
      <c r="AN42" s="188">
        <f>AI42*$D42</f>
        <v/>
      </c>
    </row>
    <row r="43">
      <c r="A43" s="120">
        <f>A42+1</f>
        <v/>
      </c>
      <c r="B43" s="189" t="n"/>
      <c r="C43" s="190" t="inlineStr">
        <is>
          <t>Safety</t>
        </is>
      </c>
      <c r="D43" s="179" t="n">
        <v>10.81081081081081</v>
      </c>
      <c r="E43" s="180" t="n">
        <v>-2</v>
      </c>
      <c r="F43" s="181" t="n">
        <v>-1</v>
      </c>
      <c r="G43" s="181" t="n"/>
      <c r="H43" s="181" t="n"/>
      <c r="I43" s="181" t="n"/>
      <c r="J43" s="181" t="n"/>
      <c r="K43" s="181" t="n"/>
      <c r="L43" s="181" t="n">
        <v>2</v>
      </c>
      <c r="M43" s="181" t="n"/>
      <c r="N43" s="181" t="n">
        <v>1</v>
      </c>
      <c r="O43" s="181" t="n">
        <v>1</v>
      </c>
      <c r="P43" s="181" t="n"/>
      <c r="Q43" s="181" t="n">
        <v>2</v>
      </c>
      <c r="R43" s="181" t="n">
        <v>2</v>
      </c>
      <c r="S43" s="181" t="n"/>
      <c r="T43" s="181" t="n"/>
      <c r="U43" s="181" t="n"/>
      <c r="V43" s="181" t="n"/>
      <c r="W43" s="181" t="n"/>
      <c r="X43" s="181" t="n"/>
      <c r="Y43" s="181" t="n"/>
      <c r="Z43" s="181" t="n"/>
      <c r="AA43" s="181" t="n">
        <v>-1</v>
      </c>
      <c r="AB43" s="181" t="n"/>
      <c r="AC43" s="181" t="n"/>
      <c r="AD43" s="182" t="n"/>
      <c r="AE43" s="183" t="n">
        <v>3</v>
      </c>
      <c r="AF43" s="184" t="n">
        <v>5</v>
      </c>
      <c r="AG43" s="184" t="n">
        <v>5</v>
      </c>
      <c r="AH43" s="184" t="n">
        <v>3</v>
      </c>
      <c r="AI43" s="185" t="n">
        <v>5</v>
      </c>
      <c r="AJ43" s="186">
        <f>AE43*$D43</f>
        <v/>
      </c>
      <c r="AK43" s="187">
        <f>AF43*$D43</f>
        <v/>
      </c>
      <c r="AL43" s="187">
        <f>AG43*$D43</f>
        <v/>
      </c>
      <c r="AM43" s="187">
        <f>AH43*$D43</f>
        <v/>
      </c>
      <c r="AN43" s="188">
        <f>AI43*$D43</f>
        <v/>
      </c>
    </row>
    <row r="44" ht="17" customHeight="1">
      <c r="A44" s="120">
        <f>A43+1</f>
        <v/>
      </c>
      <c r="B44" s="191" t="n"/>
      <c r="C44" s="192" t="inlineStr">
        <is>
          <t>Coolness</t>
        </is>
      </c>
      <c r="D44" s="193" t="n">
        <v>8.108108108108109</v>
      </c>
      <c r="E44" s="194" t="n">
        <v>2</v>
      </c>
      <c r="F44" s="195" t="n">
        <v>1</v>
      </c>
      <c r="G44" s="195" t="n"/>
      <c r="H44" s="195" t="n"/>
      <c r="I44" s="195" t="n"/>
      <c r="J44" s="195" t="n"/>
      <c r="K44" s="195" t="n"/>
      <c r="L44" s="195" t="n">
        <v>1</v>
      </c>
      <c r="M44" s="195" t="n"/>
      <c r="N44" s="195" t="n"/>
      <c r="O44" s="195" t="n">
        <v>1</v>
      </c>
      <c r="P44" s="195" t="n"/>
      <c r="Q44" s="195" t="n">
        <v>1</v>
      </c>
      <c r="R44" s="195" t="n"/>
      <c r="S44" s="195" t="n"/>
      <c r="T44" s="195" t="n"/>
      <c r="U44" s="195" t="n"/>
      <c r="V44" s="195" t="n"/>
      <c r="W44" s="195" t="n"/>
      <c r="X44" s="195" t="n"/>
      <c r="Y44" s="195" t="n"/>
      <c r="Z44" s="195" t="n"/>
      <c r="AA44" s="195" t="n"/>
      <c r="AB44" s="195" t="n"/>
      <c r="AC44" s="195" t="n">
        <v>1</v>
      </c>
      <c r="AD44" s="196" t="n"/>
      <c r="AE44" s="197" t="n">
        <v>3</v>
      </c>
      <c r="AF44" s="198" t="n">
        <v>5</v>
      </c>
      <c r="AG44" s="198" t="n">
        <v>3</v>
      </c>
      <c r="AH44" s="198" t="n">
        <v>4</v>
      </c>
      <c r="AI44" s="199" t="n">
        <v>2</v>
      </c>
      <c r="AJ44" s="200">
        <f>AE44*$D44</f>
        <v/>
      </c>
      <c r="AK44" s="201">
        <f>AF44*$D44</f>
        <v/>
      </c>
      <c r="AL44" s="201">
        <f>AG44*$D44</f>
        <v/>
      </c>
      <c r="AM44" s="201">
        <f>AH44*$D44</f>
        <v/>
      </c>
      <c r="AN44" s="202">
        <f>AI44*$D44</f>
        <v/>
      </c>
    </row>
    <row r="45" ht="34" customHeight="1">
      <c r="B45" s="139" t="inlineStr">
        <is>
          <t>Competitor Legend</t>
        </is>
      </c>
      <c r="C45" s="203" t="inlineStr">
        <is>
          <t>Measurement Units</t>
        </is>
      </c>
      <c r="D45" s="99" t="n"/>
      <c r="E45" s="204" t="inlineStr">
        <is>
          <t>m/s</t>
        </is>
      </c>
      <c r="F45" s="204" t="inlineStr">
        <is>
          <t>m/s2</t>
        </is>
      </c>
      <c r="G45" s="204" t="inlineStr">
        <is>
          <t>Ghz</t>
        </is>
      </c>
      <c r="H45" s="204" t="inlineStr">
        <is>
          <t>#</t>
        </is>
      </c>
      <c r="I45" s="204" t="inlineStr">
        <is>
          <t>#</t>
        </is>
      </c>
      <c r="J45" s="204" t="inlineStr">
        <is>
          <t>#</t>
        </is>
      </c>
      <c r="K45" s="204" t="inlineStr">
        <is>
          <t>#</t>
        </is>
      </c>
      <c r="L45" s="204" t="inlineStr">
        <is>
          <t>T.U1</t>
        </is>
      </c>
      <c r="M45" s="204" t="inlineStr">
        <is>
          <t>T.U2</t>
        </is>
      </c>
      <c r="N45" s="204" t="inlineStr">
        <is>
          <t>T.U3</t>
        </is>
      </c>
      <c r="O45" s="204" t="inlineStr">
        <is>
          <t>T.U4</t>
        </is>
      </c>
      <c r="P45" s="204" t="inlineStr">
        <is>
          <t>T.U5</t>
        </is>
      </c>
      <c r="Q45" s="204" t="inlineStr">
        <is>
          <t>T.U6</t>
        </is>
      </c>
      <c r="R45" s="204" t="inlineStr">
        <is>
          <t>T.U7</t>
        </is>
      </c>
      <c r="S45" s="204" t="inlineStr">
        <is>
          <t>$</t>
        </is>
      </c>
      <c r="T45" s="204" t="inlineStr">
        <is>
          <t>$</t>
        </is>
      </c>
      <c r="U45" s="204" t="inlineStr">
        <is>
          <t>$</t>
        </is>
      </c>
      <c r="V45" s="204" t="inlineStr">
        <is>
          <t>$</t>
        </is>
      </c>
      <c r="W45" s="204" t="inlineStr">
        <is>
          <t>min</t>
        </is>
      </c>
      <c r="X45" s="204" t="inlineStr">
        <is>
          <t>min</t>
        </is>
      </c>
      <c r="Y45" s="204" t="inlineStr">
        <is>
          <t>hr</t>
        </is>
      </c>
      <c r="Z45" s="204" t="inlineStr">
        <is>
          <t>N</t>
        </is>
      </c>
      <c r="AA45" s="204" t="inlineStr">
        <is>
          <t>kg</t>
        </is>
      </c>
      <c r="AB45" s="204" t="inlineStr">
        <is>
          <t>m3</t>
        </is>
      </c>
      <c r="AC45" s="204" t="inlineStr">
        <is>
          <t>m3</t>
        </is>
      </c>
      <c r="AD45" s="205" t="inlineStr">
        <is>
          <t>Amp-hr</t>
        </is>
      </c>
      <c r="AJ45" s="206">
        <f>SUM(AJ33:AJ44)</f>
        <v/>
      </c>
      <c r="AK45" s="206">
        <f>SUM(AK33:AK44)</f>
        <v/>
      </c>
      <c r="AL45" s="206">
        <f>SUM(AL33:AL44)</f>
        <v/>
      </c>
      <c r="AM45" s="206">
        <f>SUM(AM33:AM44)</f>
        <v/>
      </c>
      <c r="AN45" s="206">
        <f>SUM(AN33:AN44)</f>
        <v/>
      </c>
      <c r="AP45" s="207" t="n"/>
    </row>
    <row r="46">
      <c r="B46" s="118" t="inlineStr">
        <is>
          <t>B</t>
        </is>
      </c>
      <c r="C46" s="208" t="inlineStr">
        <is>
          <t>Competitor Name B</t>
        </is>
      </c>
      <c r="D46" s="105" t="n"/>
      <c r="E46" s="128" t="n">
        <v>2</v>
      </c>
      <c r="F46" s="128" t="n">
        <v>4.5</v>
      </c>
      <c r="G46" s="128" t="n">
        <v>2.4</v>
      </c>
      <c r="H46" s="128" t="n">
        <v>2</v>
      </c>
      <c r="I46" s="128" t="n">
        <v>2</v>
      </c>
      <c r="J46" s="128" t="n">
        <v>2</v>
      </c>
      <c r="K46" s="128" t="n">
        <v>4</v>
      </c>
      <c r="L46" s="128" t="n">
        <v>3</v>
      </c>
      <c r="M46" s="128" t="n">
        <v>2</v>
      </c>
      <c r="N46" s="128" t="n">
        <v>2</v>
      </c>
      <c r="O46" s="128" t="n">
        <v>2</v>
      </c>
      <c r="P46" s="128" t="n">
        <v>2</v>
      </c>
      <c r="Q46" s="128" t="n">
        <v>2</v>
      </c>
      <c r="R46" s="128" t="n">
        <v>2</v>
      </c>
      <c r="S46" s="128" t="n">
        <v>3500</v>
      </c>
      <c r="T46" s="128" t="n">
        <v>500</v>
      </c>
      <c r="U46" s="128" t="n">
        <v>800</v>
      </c>
      <c r="V46" s="128" t="n">
        <v>200</v>
      </c>
      <c r="W46" s="128" t="n">
        <v>60</v>
      </c>
      <c r="X46" s="128" t="n">
        <v>240</v>
      </c>
      <c r="Y46" s="128" t="n">
        <v>80</v>
      </c>
      <c r="Z46" s="128" t="inlineStr">
        <is>
          <t>N/A</t>
        </is>
      </c>
      <c r="AA46" s="128" t="n">
        <v>2</v>
      </c>
      <c r="AB46" s="209" t="n">
        <v>0.02</v>
      </c>
      <c r="AC46" s="209" t="n">
        <v>0.01</v>
      </c>
      <c r="AD46" s="210" t="n">
        <v>4</v>
      </c>
    </row>
    <row r="47">
      <c r="B47" s="118" t="inlineStr">
        <is>
          <t>C</t>
        </is>
      </c>
      <c r="C47" s="208" t="inlineStr">
        <is>
          <t>Competitor Name C</t>
        </is>
      </c>
      <c r="D47" s="105" t="n"/>
      <c r="E47" s="128" t="n">
        <v>0.5</v>
      </c>
      <c r="F47" s="128" t="n">
        <v>1</v>
      </c>
      <c r="G47" s="128" t="n">
        <v>3</v>
      </c>
      <c r="H47" s="128" t="n">
        <v>4</v>
      </c>
      <c r="I47" s="128" t="n">
        <v>8</v>
      </c>
      <c r="J47" s="128" t="n">
        <v>4</v>
      </c>
      <c r="K47" s="128" t="n">
        <v>4</v>
      </c>
      <c r="L47" s="128" t="n">
        <v>5</v>
      </c>
      <c r="M47" s="128" t="n">
        <v>7</v>
      </c>
      <c r="N47" s="128" t="n">
        <v>6</v>
      </c>
      <c r="O47" s="128" t="n">
        <v>7</v>
      </c>
      <c r="P47" s="128" t="n">
        <v>3</v>
      </c>
      <c r="Q47" s="128" t="n">
        <v>5</v>
      </c>
      <c r="R47" s="128" t="n">
        <v>4</v>
      </c>
      <c r="S47" s="128" t="n">
        <v>2500</v>
      </c>
      <c r="T47" s="128" t="n">
        <v>200</v>
      </c>
      <c r="U47" s="128" t="n">
        <v>1500</v>
      </c>
      <c r="V47" s="128" t="n">
        <v>300</v>
      </c>
      <c r="W47" s="128" t="n">
        <v>120</v>
      </c>
      <c r="X47" s="128" t="n">
        <v>300</v>
      </c>
      <c r="Y47" s="128" t="n">
        <v>100</v>
      </c>
      <c r="Z47" s="128" t="inlineStr">
        <is>
          <t>N/A</t>
        </is>
      </c>
      <c r="AA47" s="128" t="n">
        <v>5</v>
      </c>
      <c r="AB47" s="128" t="n">
        <v>0.015</v>
      </c>
      <c r="AC47" s="128" t="n">
        <v>0.015</v>
      </c>
      <c r="AD47" s="210" t="n">
        <v>5</v>
      </c>
      <c r="AI47" s="123" t="n"/>
    </row>
    <row r="48">
      <c r="B48" s="118" t="n"/>
      <c r="C48" s="208" t="inlineStr">
        <is>
          <t>(External) Requirement Thresholds</t>
        </is>
      </c>
      <c r="D48" s="105" t="n"/>
      <c r="E48" s="128" t="n">
        <v>0.5</v>
      </c>
      <c r="F48" s="128" t="n">
        <v>0.5</v>
      </c>
      <c r="G48" s="128" t="inlineStr">
        <is>
          <t>N/A</t>
        </is>
      </c>
      <c r="H48" s="128" t="inlineStr">
        <is>
          <t>N/A</t>
        </is>
      </c>
      <c r="I48" s="128" t="n">
        <v>2</v>
      </c>
      <c r="J48" s="128" t="n">
        <v>1</v>
      </c>
      <c r="K48" s="128" t="n">
        <v>1</v>
      </c>
      <c r="L48" s="128" t="inlineStr">
        <is>
          <t>N/A</t>
        </is>
      </c>
      <c r="M48" s="128" t="inlineStr">
        <is>
          <t>N/A</t>
        </is>
      </c>
      <c r="N48" s="128" t="n">
        <v>1</v>
      </c>
      <c r="O48" s="128" t="inlineStr">
        <is>
          <t>N/A</t>
        </is>
      </c>
      <c r="P48" s="128" t="inlineStr">
        <is>
          <t>N/A</t>
        </is>
      </c>
      <c r="Q48" s="128" t="inlineStr">
        <is>
          <t>N/A</t>
        </is>
      </c>
      <c r="R48" s="128" t="inlineStr">
        <is>
          <t>N/A</t>
        </is>
      </c>
      <c r="S48" s="128" t="inlineStr">
        <is>
          <t>N/A</t>
        </is>
      </c>
      <c r="T48" s="128" t="inlineStr">
        <is>
          <t>N/A</t>
        </is>
      </c>
      <c r="U48" s="128" t="inlineStr">
        <is>
          <t>N/A</t>
        </is>
      </c>
      <c r="V48" s="128" t="inlineStr">
        <is>
          <t>N/A</t>
        </is>
      </c>
      <c r="W48" s="128" t="n">
        <v>180</v>
      </c>
      <c r="X48" s="128" t="inlineStr">
        <is>
          <t>N/A</t>
        </is>
      </c>
      <c r="Y48" s="128" t="inlineStr">
        <is>
          <t>N/A</t>
        </is>
      </c>
      <c r="Z48" s="128" t="inlineStr">
        <is>
          <t>N/A</t>
        </is>
      </c>
      <c r="AA48" s="128" t="n">
        <v>2</v>
      </c>
      <c r="AB48" s="128" t="inlineStr">
        <is>
          <t>N/A</t>
        </is>
      </c>
      <c r="AC48" s="128" t="inlineStr">
        <is>
          <t>N/A</t>
        </is>
      </c>
      <c r="AD48" s="210" t="inlineStr">
        <is>
          <t>N/A</t>
        </is>
      </c>
      <c r="AI48" s="123" t="n"/>
    </row>
    <row r="49">
      <c r="B49" s="118" t="n"/>
      <c r="C49" s="211" t="inlineStr">
        <is>
          <t>Targets</t>
        </is>
      </c>
      <c r="D49" s="105" t="n"/>
      <c r="E49" s="212" t="n">
        <v>1</v>
      </c>
      <c r="F49" s="212" t="n">
        <v>2</v>
      </c>
      <c r="G49" s="212" t="n">
        <v>3.2</v>
      </c>
      <c r="H49" s="212" t="n">
        <v>4</v>
      </c>
      <c r="I49" s="212" t="n">
        <v>8</v>
      </c>
      <c r="J49" s="212" t="n">
        <v>6</v>
      </c>
      <c r="K49" s="212" t="n">
        <v>5</v>
      </c>
      <c r="L49" s="212" t="n">
        <v>6</v>
      </c>
      <c r="M49" s="212" t="n">
        <v>7</v>
      </c>
      <c r="N49" s="212" t="n">
        <v>7</v>
      </c>
      <c r="O49" s="212" t="n">
        <v>7</v>
      </c>
      <c r="P49" s="212" t="n">
        <v>4</v>
      </c>
      <c r="Q49" s="212" t="n">
        <v>5</v>
      </c>
      <c r="R49" s="212" t="n">
        <v>5</v>
      </c>
      <c r="S49" s="212" t="n">
        <v>3000</v>
      </c>
      <c r="T49" s="212" t="n">
        <v>250</v>
      </c>
      <c r="U49" s="212" t="n">
        <v>1500</v>
      </c>
      <c r="V49" s="212" t="n">
        <v>300</v>
      </c>
      <c r="W49" s="212" t="n">
        <v>145</v>
      </c>
      <c r="X49" s="212" t="n">
        <v>200</v>
      </c>
      <c r="Y49" s="212" t="n">
        <v>100</v>
      </c>
      <c r="Z49" s="212" t="inlineStr">
        <is>
          <t>TBD</t>
        </is>
      </c>
      <c r="AA49" s="212" t="n">
        <v>5</v>
      </c>
      <c r="AB49" s="212" t="n">
        <v>0.01</v>
      </c>
      <c r="AC49" s="212" t="n">
        <v>0.015</v>
      </c>
      <c r="AD49" s="213" t="n">
        <v>5</v>
      </c>
      <c r="AI49" s="123" t="n"/>
    </row>
    <row r="50">
      <c r="B50" s="118" t="n"/>
      <c r="C50" s="208" t="inlineStr">
        <is>
          <t>Imputed Importance</t>
        </is>
      </c>
      <c r="D50" s="105" t="n"/>
      <c r="E50" s="214">
        <f>SUMPRODUCT((ABS(E33:E44)), $D33:$D44)</f>
        <v/>
      </c>
      <c r="F50" s="214" t="n">
        <v>54.05405405405405</v>
      </c>
      <c r="G50" s="214" t="n">
        <v>62.16216216216216</v>
      </c>
      <c r="H50" s="214" t="n">
        <v>51.35135135135135</v>
      </c>
      <c r="I50" s="214" t="n">
        <v>45.94594594594595</v>
      </c>
      <c r="J50" s="214" t="n">
        <v>43.24324324324324</v>
      </c>
      <c r="K50" s="214" t="n">
        <v>43.24324324324324</v>
      </c>
      <c r="L50" s="214" t="n">
        <v>75.67567567567569</v>
      </c>
      <c r="M50" s="214" t="n">
        <v>51.35135135135135</v>
      </c>
      <c r="N50" s="214" t="n">
        <v>45.94594594594595</v>
      </c>
      <c r="O50" s="214" t="n">
        <v>54.05405405405406</v>
      </c>
      <c r="P50" s="214" t="n">
        <v>10.81081081081081</v>
      </c>
      <c r="Q50" s="214" t="n">
        <v>64.86486486486487</v>
      </c>
      <c r="R50" s="214" t="n">
        <v>59.45945945945946</v>
      </c>
      <c r="S50" s="214" t="n">
        <v>16.21621621621622</v>
      </c>
      <c r="T50" s="214" t="n">
        <v>2.702702702702703</v>
      </c>
      <c r="U50" s="214" t="n">
        <v>2.702702702702703</v>
      </c>
      <c r="V50" s="214" t="n">
        <v>2.702702702702703</v>
      </c>
      <c r="W50" s="214" t="n">
        <v>18.91891891891892</v>
      </c>
      <c r="X50" s="214" t="n">
        <v>2.702702702702703</v>
      </c>
      <c r="Y50" s="214" t="n">
        <v>0</v>
      </c>
      <c r="Z50" s="214" t="n">
        <v>16.21621621621622</v>
      </c>
      <c r="AA50" s="214" t="n">
        <v>51.35135135135135</v>
      </c>
      <c r="AB50" s="214" t="n">
        <v>43.24324324324324</v>
      </c>
      <c r="AC50" s="214" t="n">
        <v>67.56756756756756</v>
      </c>
      <c r="AD50" s="215" t="n">
        <v>5.405405405405405</v>
      </c>
      <c r="AI50" s="123" t="n"/>
    </row>
    <row r="51">
      <c r="B51" s="118" t="n"/>
      <c r="C51" s="208" t="inlineStr">
        <is>
          <t>Positive Imputed Importance</t>
        </is>
      </c>
      <c r="D51" s="105" t="n"/>
      <c r="E51" s="214">
        <f>(SUMPRODUCT(E33:E44, $D33:$D44) + SUMPRODUCT((ABS(E33:E44)), $D33:$D44))/2</f>
        <v/>
      </c>
      <c r="F51" s="214">
        <f>(SUMPRODUCT(F33:F44, $D33:$D44) + SUMPRODUCT((ABS(F33:F44)), $D33:$D44))/2</f>
        <v/>
      </c>
      <c r="G51" s="214">
        <f>(SUMPRODUCT(G33:G44, $D33:$D44) + SUMPRODUCT((ABS(G33:G44)), $D33:$D44))/2</f>
        <v/>
      </c>
      <c r="H51" s="214">
        <f>(SUMPRODUCT(H33:H44, $D33:$D44) + SUMPRODUCT((ABS(H33:H44)), $D33:$D44))/2</f>
        <v/>
      </c>
      <c r="I51" s="214">
        <f>(SUMPRODUCT(I33:I44, $D33:$D44) + SUMPRODUCT((ABS(I33:I44)), $D33:$D44))/2</f>
        <v/>
      </c>
      <c r="J51" s="214">
        <f>(SUMPRODUCT(J33:J44, $D33:$D44) + SUMPRODUCT((ABS(J33:J44)), $D33:$D44))/2</f>
        <v/>
      </c>
      <c r="K51" s="214">
        <f>(SUMPRODUCT(K33:K44, $D33:$D44) + SUMPRODUCT((ABS(K33:K44)), $D33:$D44))/2</f>
        <v/>
      </c>
      <c r="L51" s="214">
        <f>(SUMPRODUCT(L33:L44, $D33:$D44) + SUMPRODUCT((ABS(L33:L44)), $D33:$D44))/2</f>
        <v/>
      </c>
      <c r="M51" s="214">
        <f>(SUMPRODUCT(M33:M44, $D33:$D44) + SUMPRODUCT((ABS(M33:M44)), $D33:$D44))/2</f>
        <v/>
      </c>
      <c r="N51" s="214">
        <f>(SUMPRODUCT(N33:N44, $D33:$D44) + SUMPRODUCT((ABS(N33:N44)), $D33:$D44))/2</f>
        <v/>
      </c>
      <c r="O51" s="214">
        <f>(SUMPRODUCT(O33:O44, $D33:$D44) + SUMPRODUCT((ABS(O33:O44)), $D33:$D44))/2</f>
        <v/>
      </c>
      <c r="P51" s="214">
        <f>(SUMPRODUCT(P33:P44, $D33:$D44) + SUMPRODUCT((ABS(P33:P44)), $D33:$D44))/2</f>
        <v/>
      </c>
      <c r="Q51" s="214">
        <f>(SUMPRODUCT(Q33:Q44, $D33:$D44) + SUMPRODUCT((ABS(Q33:Q44)), $D33:$D44))/2</f>
        <v/>
      </c>
      <c r="R51" s="214">
        <f>(SUMPRODUCT(R33:R44, $D33:$D44) + SUMPRODUCT((ABS(R33:R44)), $D33:$D44))/2</f>
        <v/>
      </c>
      <c r="S51" s="214">
        <f>(SUMPRODUCT(S33:S44, $D33:$D44) + SUMPRODUCT((ABS(S33:S44)), $D33:$D44))/2</f>
        <v/>
      </c>
      <c r="T51" s="214">
        <f>(SUMPRODUCT(T33:T44, $D33:$D44) + SUMPRODUCT((ABS(T33:T44)), $D33:$D44))/2</f>
        <v/>
      </c>
      <c r="U51" s="214">
        <f>(SUMPRODUCT(U33:U44, $D33:$D44) + SUMPRODUCT((ABS(U33:U44)), $D33:$D44))/2</f>
        <v/>
      </c>
      <c r="V51" s="214">
        <f>(SUMPRODUCT(V33:V44, $D33:$D44) + SUMPRODUCT((ABS(V33:V44)), $D33:$D44))/2</f>
        <v/>
      </c>
      <c r="W51" s="214">
        <f>(SUMPRODUCT(W33:W44, $D33:$D44) + SUMPRODUCT((ABS(W33:W44)), $D33:$D44))/2</f>
        <v/>
      </c>
      <c r="X51" s="214">
        <f>(SUMPRODUCT(X33:X44, $D33:$D44) + SUMPRODUCT((ABS(X33:X44)), $D33:$D44))/2</f>
        <v/>
      </c>
      <c r="Y51" s="214">
        <f>(SUMPRODUCT(Y33:Y44, $D33:$D44) + SUMPRODUCT((ABS(Y33:Y44)), $D33:$D44))/2</f>
        <v/>
      </c>
      <c r="Z51" s="214">
        <f>(SUMPRODUCT(Z33:Z44, $D33:$D44) + SUMPRODUCT((ABS(Z33:Z44)), $D33:$D44))/2</f>
        <v/>
      </c>
      <c r="AA51" s="214">
        <f>(SUMPRODUCT(AA33:AA44, $D33:$D44) + SUMPRODUCT((ABS(AA33:AA44)), $D33:$D44))/2</f>
        <v/>
      </c>
      <c r="AB51" s="214">
        <f>(SUMPRODUCT(AB33:AB44, $D33:$D44) + SUMPRODUCT((ABS(AB33:AB44)), $D33:$D44))/2</f>
        <v/>
      </c>
      <c r="AC51" s="214">
        <f>(SUMPRODUCT(AC33:AC44, $D33:$D44) + SUMPRODUCT((ABS(AC33:AC44)), $D33:$D44))/2</f>
        <v/>
      </c>
      <c r="AD51" s="215">
        <f>(SUMPRODUCT(AD33:AD44, $D33:$D44) + SUMPRODUCT((ABS(AD33:AD44)), $D33:$D44))/2</f>
        <v/>
      </c>
      <c r="AI51" s="123" t="n"/>
    </row>
    <row r="52">
      <c r="B52" s="118" t="n"/>
      <c r="C52" s="208" t="inlineStr">
        <is>
          <t>Negative Imputed Importance</t>
        </is>
      </c>
      <c r="D52" s="105" t="n"/>
      <c r="E52" s="214">
        <f>(-SUMPRODUCT(E33:E44, $D33:$D44)+SUMPRODUCT(ABS(E33:E44), $D33:$D44))/2</f>
        <v/>
      </c>
      <c r="F52" s="214">
        <f>(-SUMPRODUCT(F33:F44, $D33:$D44)+SUMPRODUCT(ABS(F33:F44), $D33:$D44))/2</f>
        <v/>
      </c>
      <c r="G52" s="214">
        <f>(-SUMPRODUCT(G33:G44, $D33:$D44)+SUMPRODUCT(ABS(G33:G44), $D33:$D44))/2</f>
        <v/>
      </c>
      <c r="H52" s="214">
        <f>(-SUMPRODUCT(H33:H44, $D33:$D44)+SUMPRODUCT(ABS(H33:H44), $D33:$D44))/2</f>
        <v/>
      </c>
      <c r="I52" s="214">
        <f>(-SUMPRODUCT(I33:I44, $D33:$D44)+SUMPRODUCT(ABS(I33:I44), $D33:$D44))/2</f>
        <v/>
      </c>
      <c r="J52" s="214">
        <f>(-SUMPRODUCT(J33:J44, $D33:$D44)+SUMPRODUCT(ABS(J33:J44), $D33:$D44))/2</f>
        <v/>
      </c>
      <c r="K52" s="214">
        <f>(-SUMPRODUCT(K33:K44, $D33:$D44)+SUMPRODUCT(ABS(K33:K44), $D33:$D44))/2</f>
        <v/>
      </c>
      <c r="L52" s="214">
        <f>(-SUMPRODUCT(L33:L44, $D33:$D44)+SUMPRODUCT(ABS(L33:L44), $D33:$D44))/2</f>
        <v/>
      </c>
      <c r="M52" s="214">
        <f>(-SUMPRODUCT(M33:M44, $D33:$D44)+SUMPRODUCT(ABS(M33:M44), $D33:$D44))/2</f>
        <v/>
      </c>
      <c r="N52" s="214">
        <f>(-SUMPRODUCT(N33:N44, $D33:$D44)+SUMPRODUCT(ABS(N33:N44), $D33:$D44))/2</f>
        <v/>
      </c>
      <c r="O52" s="214">
        <f>(-SUMPRODUCT(O33:O44, $D33:$D44)+SUMPRODUCT(ABS(O33:O44), $D33:$D44))/2</f>
        <v/>
      </c>
      <c r="P52" s="214">
        <f>(-SUMPRODUCT(P33:P44, $D33:$D44)+SUMPRODUCT(ABS(P33:P44), $D33:$D44))/2</f>
        <v/>
      </c>
      <c r="Q52" s="214">
        <f>(-SUMPRODUCT(Q33:Q44, $D33:$D44)+SUMPRODUCT(ABS(Q33:Q44), $D33:$D44))/2</f>
        <v/>
      </c>
      <c r="R52" s="214">
        <f>(-SUMPRODUCT(R33:R44, $D33:$D44)+SUMPRODUCT(ABS(R33:R44), $D33:$D44))/2</f>
        <v/>
      </c>
      <c r="S52" s="214">
        <f>(-SUMPRODUCT(S33:S44, $D33:$D44)+SUMPRODUCT(ABS(S33:S44), $D33:$D44))/2</f>
        <v/>
      </c>
      <c r="T52" s="214">
        <f>(-SUMPRODUCT(T33:T44, $D33:$D44)+SUMPRODUCT(ABS(T33:T44), $D33:$D44))/2</f>
        <v/>
      </c>
      <c r="U52" s="214">
        <f>(-SUMPRODUCT(U33:U44, $D33:$D44)+SUMPRODUCT(ABS(U33:U44), $D33:$D44))/2</f>
        <v/>
      </c>
      <c r="V52" s="214">
        <f>(-SUMPRODUCT(V33:V44, $D33:$D44)+SUMPRODUCT(ABS(V33:V44), $D33:$D44))/2</f>
        <v/>
      </c>
      <c r="W52" s="214">
        <f>(-SUMPRODUCT(W33:W44, $D33:$D44)+SUMPRODUCT(ABS(W33:W44), $D33:$D44))/2</f>
        <v/>
      </c>
      <c r="X52" s="214">
        <f>(-SUMPRODUCT(X33:X44, $D33:$D44)+SUMPRODUCT(ABS(X33:X44), $D33:$D44))/2</f>
        <v/>
      </c>
      <c r="Y52" s="214">
        <f>(-SUMPRODUCT(Y33:Y44, $D33:$D44)+SUMPRODUCT(ABS(Y33:Y44), $D33:$D44))/2</f>
        <v/>
      </c>
      <c r="Z52" s="214">
        <f>(-SUMPRODUCT(Z33:Z44, $D33:$D44)+SUMPRODUCT(ABS(Z33:Z44), $D33:$D44))/2</f>
        <v/>
      </c>
      <c r="AA52" s="214">
        <f>(-SUMPRODUCT(AA33:AA44, $D33:$D44)+SUMPRODUCT(ABS(AA33:AA44), $D33:$D44))/2</f>
        <v/>
      </c>
      <c r="AB52" s="214">
        <f>(-SUMPRODUCT(AB33:AB44, $D33:$D44)+SUMPRODUCT(ABS(AB33:AB44), $D33:$D44))/2</f>
        <v/>
      </c>
      <c r="AC52" s="214">
        <f>(-SUMPRODUCT(AC33:AC44, $D33:$D44)+SUMPRODUCT(ABS(AC33:AC44), $D33:$D44))/2</f>
        <v/>
      </c>
      <c r="AD52" s="215">
        <f>(-SUMPRODUCT(AD33:AD44, $D33:$D44)+SUMPRODUCT(ABS(AD33:AD44), $D33:$D44))/2</f>
        <v/>
      </c>
      <c r="AI52" s="123" t="n"/>
    </row>
    <row r="53">
      <c r="C53" s="208" t="inlineStr">
        <is>
          <t>Technical Difficulty (1 Low, 5 High)</t>
        </is>
      </c>
      <c r="D53" s="105" t="n"/>
      <c r="E53" s="128" t="n">
        <v>4</v>
      </c>
      <c r="F53" s="128" t="n">
        <v>4</v>
      </c>
      <c r="G53" s="128" t="n">
        <v>1</v>
      </c>
      <c r="H53" s="128" t="n">
        <v>2</v>
      </c>
      <c r="I53" s="128" t="n">
        <v>1</v>
      </c>
      <c r="J53" s="128" t="n">
        <v>2</v>
      </c>
      <c r="K53" s="128" t="n">
        <v>3</v>
      </c>
      <c r="L53" s="128" t="n">
        <v>4</v>
      </c>
      <c r="M53" s="128" t="n">
        <v>4</v>
      </c>
      <c r="N53" s="128" t="n">
        <v>3</v>
      </c>
      <c r="O53" s="128" t="n">
        <v>5</v>
      </c>
      <c r="P53" s="128" t="n">
        <v>2</v>
      </c>
      <c r="Q53" s="128" t="n">
        <v>4</v>
      </c>
      <c r="R53" s="128" t="n">
        <v>5</v>
      </c>
      <c r="S53" s="128" t="n">
        <v>2</v>
      </c>
      <c r="T53" s="128" t="n">
        <v>2</v>
      </c>
      <c r="U53" s="128" t="n">
        <v>4</v>
      </c>
      <c r="V53" s="128" t="n">
        <v>2</v>
      </c>
      <c r="W53" s="128" t="n">
        <v>3</v>
      </c>
      <c r="X53" s="128" t="n">
        <v>2</v>
      </c>
      <c r="Y53" s="128" t="n">
        <v>1</v>
      </c>
      <c r="Z53" s="128" t="n">
        <v>2</v>
      </c>
      <c r="AA53" s="128" t="n">
        <v>1</v>
      </c>
      <c r="AB53" s="128" t="n">
        <v>1</v>
      </c>
      <c r="AC53" s="128" t="n">
        <v>1</v>
      </c>
      <c r="AD53" s="210" t="n">
        <v>3</v>
      </c>
      <c r="AI53" s="123" t="n"/>
    </row>
    <row r="54" ht="17" customHeight="1">
      <c r="C54" s="216" t="inlineStr">
        <is>
          <t>Estimated Cost (1 Low, 5 High)</t>
        </is>
      </c>
      <c r="D54" s="114" t="n"/>
      <c r="E54" s="217" t="n">
        <v>5</v>
      </c>
      <c r="F54" s="217" t="n">
        <v>5</v>
      </c>
      <c r="G54" s="217" t="n">
        <v>4</v>
      </c>
      <c r="H54" s="217" t="n">
        <v>2</v>
      </c>
      <c r="I54" s="217" t="n">
        <v>1</v>
      </c>
      <c r="J54" s="217" t="n">
        <v>2</v>
      </c>
      <c r="K54" s="217" t="n">
        <v>3</v>
      </c>
      <c r="L54" s="217" t="n">
        <v>4</v>
      </c>
      <c r="M54" s="217" t="n">
        <v>1</v>
      </c>
      <c r="N54" s="217" t="n">
        <v>0</v>
      </c>
      <c r="O54" s="217" t="n">
        <v>0</v>
      </c>
      <c r="P54" s="217" t="n">
        <v>0</v>
      </c>
      <c r="Q54" s="217" t="n">
        <v>0</v>
      </c>
      <c r="R54" s="217" t="n">
        <v>0</v>
      </c>
      <c r="S54" s="217" t="n">
        <v>2</v>
      </c>
      <c r="T54" s="217" t="n">
        <v>2</v>
      </c>
      <c r="U54" s="217" t="n">
        <v>5</v>
      </c>
      <c r="V54" s="217" t="n">
        <v>2</v>
      </c>
      <c r="W54" s="217" t="inlineStr">
        <is>
          <t>N/A</t>
        </is>
      </c>
      <c r="X54" s="217" t="n">
        <v>1</v>
      </c>
      <c r="Y54" s="217" t="n">
        <v>4</v>
      </c>
      <c r="Z54" s="217" t="n">
        <v>1</v>
      </c>
      <c r="AA54" s="217" t="inlineStr">
        <is>
          <t>N/A</t>
        </is>
      </c>
      <c r="AB54" s="217" t="inlineStr">
        <is>
          <t>N/A</t>
        </is>
      </c>
      <c r="AC54" s="217" t="inlineStr">
        <is>
          <t>N/A</t>
        </is>
      </c>
      <c r="AD54" s="218" t="n">
        <v>3</v>
      </c>
      <c r="AI54" s="123" t="n"/>
    </row>
    <row r="55">
      <c r="AI55" s="123" t="n"/>
    </row>
    <row r="56">
      <c r="AI56" s="123" t="n"/>
      <c r="AP56" s="117" t="n"/>
    </row>
    <row r="57">
      <c r="D57" s="120" t="inlineStr">
        <is>
          <t>Table U4: Path Planning Quality Options</t>
        </is>
      </c>
      <c r="AI57" s="123" t="n"/>
      <c r="AO57" s="123" t="n"/>
    </row>
    <row r="58">
      <c r="D58" s="120" t="n">
        <v>1</v>
      </c>
      <c r="E58" s="120" t="inlineStr">
        <is>
          <t>BingBang</t>
        </is>
      </c>
      <c r="AO58" s="123" t="n"/>
    </row>
    <row r="59">
      <c r="D59" s="120" t="n">
        <v>2</v>
      </c>
      <c r="E59" s="120" t="inlineStr">
        <is>
          <t>RRT</t>
        </is>
      </c>
      <c r="AO59" s="123" t="n"/>
    </row>
    <row r="60">
      <c r="D60" s="120" t="n">
        <v>3</v>
      </c>
      <c r="E60" s="120" t="inlineStr">
        <is>
          <t>RRT + BingBang</t>
        </is>
      </c>
      <c r="AO60" s="123" t="n"/>
    </row>
    <row r="61">
      <c r="D61" s="120" t="n">
        <v>4</v>
      </c>
      <c r="E61" s="120" t="inlineStr">
        <is>
          <t>Dijksta's</t>
        </is>
      </c>
      <c r="AO61" s="123" t="n"/>
    </row>
    <row r="62">
      <c r="D62" s="120" t="n">
        <v>5</v>
      </c>
      <c r="E62" s="120" t="inlineStr">
        <is>
          <t>Dijksta's + BingBang</t>
        </is>
      </c>
    </row>
    <row r="63">
      <c r="D63" s="120" t="n">
        <v>6</v>
      </c>
      <c r="E63" s="120" t="inlineStr">
        <is>
          <t>A*</t>
        </is>
      </c>
    </row>
    <row r="64">
      <c r="D64" s="120" t="n">
        <v>7</v>
      </c>
      <c r="E64" s="120" t="inlineStr">
        <is>
          <t>A* + BingBang</t>
        </is>
      </c>
    </row>
    <row r="65">
      <c r="D65" s="120" t="n">
        <v>8</v>
      </c>
      <c r="E65" s="120" t="inlineStr">
        <is>
          <t>Neural Network</t>
        </is>
      </c>
    </row>
    <row r="66">
      <c r="D66" s="120" t="n">
        <v>9</v>
      </c>
      <c r="E66" s="120" t="inlineStr">
        <is>
          <t>Primitives</t>
        </is>
      </c>
    </row>
    <row r="67">
      <c r="D67" s="120" t="n">
        <v>10</v>
      </c>
      <c r="E67" s="120" t="inlineStr">
        <is>
          <t>Primitves + BingBang</t>
        </is>
      </c>
    </row>
    <row r="68">
      <c r="D68" s="120" t="n">
        <v>11</v>
      </c>
      <c r="E68" s="120" t="inlineStr">
        <is>
          <t>G*TA + Diijkstra's</t>
        </is>
      </c>
    </row>
    <row r="69">
      <c r="D69" s="120" t="n">
        <v>12</v>
      </c>
      <c r="E69" s="120" t="inlineStr">
        <is>
          <t>G*TA + Diijkstra's + BingBang</t>
        </is>
      </c>
    </row>
    <row r="70">
      <c r="D70" s="120" t="n">
        <v>13</v>
      </c>
      <c r="E70" s="120" t="inlineStr">
        <is>
          <t>G*TA + Primatives</t>
        </is>
      </c>
    </row>
    <row r="71">
      <c r="D71" s="120" t="n">
        <v>14</v>
      </c>
      <c r="E71" s="120" t="inlineStr">
        <is>
          <t>G*TA + Primitives + BingBang</t>
        </is>
      </c>
    </row>
  </sheetData>
  <mergeCells count="16">
    <mergeCell ref="AJ31:AN31"/>
    <mergeCell ref="B2:C2"/>
    <mergeCell ref="C46:D46"/>
    <mergeCell ref="C47:D47"/>
    <mergeCell ref="C54:D54"/>
    <mergeCell ref="C51:D51"/>
    <mergeCell ref="B19:C19"/>
    <mergeCell ref="AE31:AI31"/>
    <mergeCell ref="C50:D50"/>
    <mergeCell ref="C45:D45"/>
    <mergeCell ref="AE30:AN30"/>
    <mergeCell ref="C52:D52"/>
    <mergeCell ref="C53:D53"/>
    <mergeCell ref="C48:D48"/>
    <mergeCell ref="B4:C4"/>
    <mergeCell ref="C49:D49"/>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12.1640625" customWidth="1" min="1" max="1"/>
  </cols>
  <sheetData>
    <row r="1" ht="29.25" customHeight="1">
      <c r="A1" s="219" t="inlineStr">
        <is>
          <t xml:space="preserve">Engineering Characteristics Explained: </t>
        </is>
      </c>
    </row>
    <row r="2" ht="15.75" customHeight="1">
      <c r="A2" s="220" t="n"/>
    </row>
    <row r="3" ht="51" customHeight="1">
      <c r="A3" s="221" t="inlineStr">
        <is>
          <t>Here's some basic background on the engineering characteristics to help you better understand the Robotic Vehicle example in the QFD Sample tab. This is not meant to be a comprehesive system review, but it should put some of what you see in the QFD sample into context.</t>
        </is>
      </c>
    </row>
    <row r="4" ht="16" customHeight="1">
      <c r="A4" s="221" t="n"/>
    </row>
    <row r="5" ht="176" customHeight="1">
      <c r="A5" s="222" t="inlineStr">
        <is>
          <t>Robot Vehicle Operation
The operation begins with the vehicle getting a command to go to a new destination (the star) and operate its payload and navigation sensors along the way. To perform the "travel to destination" task, the vehicle has a suite of on-board navigation sensors that help it to estimate physical parameters in the world around it and populate a local area “map” (i.e. a grid of square cells) that indicates how safe it is to travel in each cell.
The vehicle then runs a low level controls algorithm to create commands for the vehicle’s motors to drive the vehicle along the calculated path. As the vehicle moves, new sensor information is brought in to update the map and the process repeats itself. This map is then used by a path planning algorithm to determine a route for the vehicle to travel from its current location to the desired destination.</t>
        </is>
      </c>
    </row>
    <row r="6" ht="17" customHeight="1">
      <c r="A6" s="221" t="inlineStr">
        <is>
          <t xml:space="preserve">Here's a diagram that shows the steps in the process of the "travel to destination" task. </t>
        </is>
      </c>
    </row>
    <row r="7" ht="299" customHeight="1">
      <c r="A7" s="221" t="n"/>
    </row>
    <row r="8" ht="15" customHeight="1">
      <c r="A8" s="221" t="n"/>
    </row>
    <row r="9" ht="329" customHeight="1">
      <c r="A9" s="222" t="inlineStr">
        <is>
          <t>From the description of the robot vehicle operation, it becomes easier to identify some engineering characteristics. Some of the more obvious characteristics are: 
   • maximum speed
   • sensor accuracy, and 
   • mapping precision (how good our system is at interpreting the sensor data into something meaningful)
Going further, characteristics that could have significant impacts include: 
   • the frequency at which the map is updated
   • the frequency at which the path planning algorithm is re-run to account for any map updates or new destination commands, and 
   • how often adjustments are made to the motor commands. 
These are all important, even though some may not be the first characteristics that come to mind. The precision and accuracy of these last three characteristics will also have a significant performance impact and may vary depending upon how we design our system.
Other aspects of our system in the list include that our vehicle might have different kinds of sensor ports and a different number of each type. To operate those sensors we might need different microcontrollers (smaller, possibly more specialized electronics boards) and a main computer onboard the vehicle. In the list below, “quality” is a general term used where the higher quality an engineering characteristic is made, the more it is assumed to provide better results, but may take more computational resources or require fancier components to operate.</t>
        </is>
      </c>
    </row>
    <row r="10" ht="16" customHeight="1">
      <c r="A10" s="221" t="n"/>
    </row>
    <row r="11" ht="20" customHeight="1">
      <c r="A11" s="223" t="inlineStr">
        <is>
          <t>ENGINEERING CHARACTERISTICS DESCRIPTIONS</t>
        </is>
      </c>
    </row>
    <row r="12" ht="16" customHeight="1">
      <c r="A12" s="221" t="n"/>
    </row>
    <row r="13" ht="51" customHeight="1">
      <c r="A13" s="221" t="inlineStr">
        <is>
          <t>• Maximum Speed is how fast the robot can travel. Maximum Acceleration is how quickly the robot can achieve that speed from a stopped position. Maximum Acceleration also relates to how quickly the robot may be able to change direction.</t>
        </is>
      </c>
    </row>
    <row r="14" ht="16" customHeight="1">
      <c r="A14" s="221" t="n"/>
    </row>
    <row r="15" ht="131" customHeight="1">
      <c r="A15" s="221" t="inlineStr">
        <is>
          <t>• The CPU is the main processing unit which handles many of the more complex computations such as interpreting the sensor data and running the more complex algorithms like the path planning and possibly some of the higher-level controls. Microcontrollers handle simpler computational tasks and the direct input and output commands to other components, such as reading in the sensor data (example of an input), or aiding in sending of the proper voltage to motors so they will actually move (example of an output). Some microcontrollers may be able to do some initial filtering of sensor readings to improve the value of the sensor data. Microcontrollers may also run some simpler lower level controls programs such as helping to make sure the motor wheels are spinning at the desired speed. Determining that desired speed or what to do with those improved sensor readings is handled more often by a CPU.</t>
        </is>
      </c>
    </row>
    <row r="16" ht="16" customHeight="1">
      <c r="A16" s="221" t="n"/>
    </row>
    <row r="17" ht="67" customHeight="1">
      <c r="A17" s="221" t="inlineStr">
        <is>
          <t>• Sensor Port Type refers to the idea that different sensors have different connection requirements. Some sensors may require more input/output pins on a microcontroller, some may require specific communication protocols, etc. For this example, the QFD is considering 3 different kinds of sets of sensors requirements. The details for each set is not important for this example, but it is worthwhile to recognize that each sensor type may affect the performance criteria differently.</t>
        </is>
      </c>
    </row>
    <row r="18" ht="16" customHeight="1">
      <c r="A18" s="221" t="n"/>
    </row>
    <row r="19" ht="51" customHeight="1">
      <c r="A19" s="221" t="inlineStr">
        <is>
          <t xml:space="preserve">• Navigation Sensor Quality relates to how accurately the robot can the detect its surroundings. As the quality of these sensors increase, it typically means that the sensors are larger and/or more numerous and also require more computational support to operate and interpret. </t>
        </is>
      </c>
    </row>
    <row r="20" ht="16" customHeight="1">
      <c r="A20" s="221" t="n"/>
    </row>
    <row r="21" ht="82" customHeight="1">
      <c r="A21" s="221" t="inlineStr">
        <is>
          <t xml:space="preserve">• Sensor Filter Quality is a measure for how much processing the raw sensor data undergoes. Typically, the more filtering, the better the quality (i.e. the more useful and reliable) the resulting processed data is. There is often a diminishing return for the amount of effort put into the sensor filtering and the quality of the resulting processed data, i.e. it’s often easy to filter away some of the larger noise but to get better accuracy, it takes significant effort to tune the filters and/or develop algorithms to refine sets of data. </t>
        </is>
      </c>
    </row>
    <row r="22" ht="16" customHeight="1">
      <c r="A22" s="221" t="n"/>
    </row>
    <row r="23" ht="97" customHeight="1">
      <c r="A23" s="221" t="inlineStr">
        <is>
          <t>• Path Planning Quality is how good a path one creates, where goodness could be defined by criteria such as minimizing the path length’s distance or maintaining a safe distance from certain obstacles. Control / Path Following Accuracy is how well you follow the path you have created, independent of the speed you are travelling along the path. Controls Quality is related to Control / Path Following Accuracy, but Controls Quality refers to how well your system may be able to react to quick changes in commands or maintain a desired output disturbance (e.g., keep going straight when going over a bump).</t>
        </is>
      </c>
    </row>
    <row r="24" ht="16" customHeight="1">
      <c r="A24" s="221" t="n"/>
    </row>
    <row r="25" ht="51" customHeight="1">
      <c r="A25" s="221" t="inlineStr">
        <is>
          <t>• Initialization and Calibration Time refers to the time it takes to prepare the robot and all of its sensors, algorithms, etc. for use when it had been brought into new operating conditions or otherwise has been repaired, significantly modified, or reset.</t>
        </is>
      </c>
    </row>
    <row r="26" ht="16" customHeight="1">
      <c r="A26" s="221" t="n"/>
    </row>
    <row r="27" ht="34" customHeight="1">
      <c r="A27" s="221" t="inlineStr">
        <is>
          <t xml:space="preserve">• Assembly Time is the amount of time it takes to put the robot together for the first time. Manufacturing Time is the amount of time it takes to machine, construct, and otherwise ready all of the components for the robot to be put together. </t>
        </is>
      </c>
    </row>
    <row r="28" ht="16" customHeight="1">
      <c r="A28" s="221" t="n"/>
    </row>
    <row r="29" ht="34" customHeight="1">
      <c r="A29" s="221" t="inlineStr">
        <is>
          <t>• Frame Strength refers to the amount of force the robot can withstand before enough damage has been done to affect the robot’s performance.</t>
        </is>
      </c>
    </row>
    <row r="30" ht="16" customHeight="1">
      <c r="A30" s="221" t="n"/>
    </row>
    <row r="31" ht="64" customHeight="1">
      <c r="A31" s="221" t="inlineStr">
        <is>
          <t xml:space="preserve">• Max Payload Weight refers to the maximum amount of weight in addition to that of the robot that can be carried without altering the robot’s performance to be outside of its requirements. Max Payload Size refers to the space available to securely carry a payload. Sensor Bay Size refers to the space, separate from the payload space, that is dedicated to accommodating additional potential on-board sensors. </t>
        </is>
      </c>
    </row>
    <row r="32" ht="16" customHeight="1">
      <c r="A32" s="221" t="n"/>
    </row>
    <row r="33" ht="17" customHeight="1">
      <c r="A33" s="221" t="inlineStr">
        <is>
          <t>• Battery Capacity refers to the size and energy storage (which are proportionally related) of the on-board batteries.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N62"/>
  <sheetViews>
    <sheetView workbookViewId="0">
      <selection activeCell="A1" sqref="A1"/>
    </sheetView>
  </sheetViews>
  <sheetFormatPr baseColWidth="8" defaultRowHeight="15"/>
  <cols>
    <col width="8.83203125" customWidth="1" min="1" max="1"/>
    <col width="52.6640625" customWidth="1" min="2" max="2"/>
    <col width="33" customWidth="1" min="3" max="3"/>
    <col width="13.1640625" customWidth="1" min="4" max="4"/>
    <col width="4.6640625" customWidth="1" min="5" max="5"/>
    <col width="5.5" customWidth="1" min="19" max="19"/>
    <col width="4.6640625" customWidth="1" min="20" max="20"/>
    <col width="5.5" customWidth="1" min="21" max="21"/>
    <col width="4.6640625" customWidth="1" min="22" max="22"/>
    <col width="6.6640625" customWidth="1" min="28" max="28"/>
    <col width="6.83203125" customWidth="1" min="29" max="29"/>
    <col width="4.6640625" customWidth="1" min="30" max="30"/>
    <col width="8.83203125" customWidth="1" min="31" max="31"/>
    <col width="10.5" customWidth="1" min="39" max="39"/>
    <col width="8.83203125" customWidth="1" min="40" max="40"/>
  </cols>
  <sheetData>
    <row r="1">
      <c r="B1" s="8" t="inlineStr">
        <is>
          <t>Project Title</t>
        </is>
      </c>
    </row>
    <row r="2" ht="17" customHeight="1">
      <c r="A2" s="9" t="inlineStr">
        <is>
          <t xml:space="preserve"> </t>
        </is>
      </c>
      <c r="B2" s="10" t="inlineStr">
        <is>
          <t>c1v — House of Quality (T6 Wave-4)</t>
        </is>
      </c>
      <c r="AN2" s="8" t="n"/>
    </row>
    <row r="3" ht="17" customHeight="1">
      <c r="B3" s="8" t="inlineStr">
        <is>
          <t>Developed by</t>
        </is>
      </c>
      <c r="D3" s="11" t="n">
        <v>1</v>
      </c>
      <c r="E3" s="12" t="n"/>
      <c r="F3" s="13" t="n"/>
      <c r="AM3" s="14" t="n"/>
    </row>
    <row r="4" ht="17" customHeight="1">
      <c r="B4" s="10" t="inlineStr">
        <is>
          <t>hoq-agent (T6) — David Ancor (Bond)</t>
        </is>
      </c>
      <c r="D4" s="11">
        <f>D3+1</f>
        <v/>
      </c>
      <c r="E4" s="15" t="n">
        <v>-1</v>
      </c>
      <c r="F4" s="16" t="n"/>
      <c r="G4" s="13" t="n"/>
      <c r="AM4" s="14" t="n"/>
    </row>
    <row r="5" ht="17" customHeight="1">
      <c r="B5" s="8" t="inlineStr">
        <is>
          <t>Last Updated</t>
        </is>
      </c>
      <c r="D5" s="11">
        <f>D4+1</f>
        <v/>
      </c>
      <c r="E5" s="15" t="n"/>
      <c r="F5" s="17" t="n"/>
      <c r="G5" s="16" t="n"/>
      <c r="H5" s="13" t="n"/>
      <c r="AM5" s="14" t="n"/>
    </row>
    <row r="6" ht="17" customHeight="1">
      <c r="B6" s="18" t="inlineStr">
        <is>
          <t>2026-04-25</t>
        </is>
      </c>
      <c r="D6" s="11">
        <f>D5+1</f>
        <v/>
      </c>
      <c r="E6" s="15" t="n"/>
      <c r="F6" s="19" t="n">
        <v>-1</v>
      </c>
      <c r="G6" s="17" t="n">
        <v>1</v>
      </c>
      <c r="H6" s="16" t="n"/>
      <c r="I6" s="13" t="n"/>
      <c r="AM6" s="14" t="n"/>
    </row>
    <row r="7" ht="17" customHeight="1">
      <c r="B7" s="8" t="n"/>
      <c r="D7" s="11">
        <f>D6+1</f>
        <v/>
      </c>
      <c r="E7" s="15" t="n"/>
      <c r="F7" s="20" t="n"/>
      <c r="G7" s="19" t="n"/>
      <c r="H7" s="17" t="n"/>
      <c r="I7" s="16" t="n"/>
      <c r="J7" s="13" t="n"/>
      <c r="AM7" s="14" t="n"/>
    </row>
    <row r="8" ht="17" customHeight="1">
      <c r="B8" s="8" t="n"/>
      <c r="D8" s="11">
        <f>D7+1</f>
        <v/>
      </c>
      <c r="E8" s="15" t="n"/>
      <c r="F8" s="20" t="n"/>
      <c r="G8" s="20" t="n"/>
      <c r="H8" s="19" t="n"/>
      <c r="I8" s="17" t="n">
        <v>-1</v>
      </c>
      <c r="J8" s="21" t="n"/>
      <c r="K8" s="13" t="n"/>
      <c r="AM8" s="14" t="n"/>
    </row>
    <row r="9" ht="17" customHeight="1">
      <c r="B9" s="8" t="n"/>
      <c r="D9" s="11">
        <f>D8+1</f>
        <v/>
      </c>
      <c r="E9" s="15" t="n"/>
      <c r="F9" s="20" t="n"/>
      <c r="G9" s="20" t="n"/>
      <c r="H9" s="19" t="n"/>
      <c r="I9" s="17" t="n"/>
      <c r="J9" s="22" t="n">
        <v>1</v>
      </c>
      <c r="K9" s="16" t="n"/>
      <c r="L9" s="13" t="n"/>
      <c r="AM9" s="14" t="n"/>
    </row>
    <row r="10" ht="17" customHeight="1">
      <c r="B10" s="8" t="inlineStr">
        <is>
          <t>Relationships</t>
        </is>
      </c>
      <c r="D10" s="11">
        <f>D9+1</f>
        <v/>
      </c>
      <c r="E10" s="15" t="n"/>
      <c r="F10" s="20" t="n"/>
      <c r="G10" s="20" t="n"/>
      <c r="H10" s="19" t="n"/>
      <c r="I10" s="17" t="n"/>
      <c r="J10" s="22" t="n">
        <v>1</v>
      </c>
      <c r="K10" s="19" t="n">
        <v>1</v>
      </c>
      <c r="L10" s="16" t="n"/>
      <c r="M10" s="13" t="n"/>
      <c r="AM10" s="14" t="n"/>
    </row>
    <row r="11" ht="17" customHeight="1">
      <c r="A11" s="14" t="inlineStr">
        <is>
          <t>+ +</t>
        </is>
      </c>
      <c r="B11" s="11" t="inlineStr">
        <is>
          <t>Strong Positive</t>
        </is>
      </c>
      <c r="D11" s="11">
        <f>D10+1</f>
        <v/>
      </c>
      <c r="E11" s="15" t="n"/>
      <c r="F11" s="20" t="n"/>
      <c r="G11" s="20" t="n"/>
      <c r="H11" s="19" t="n"/>
      <c r="I11" s="17" t="n"/>
      <c r="J11" s="22" t="n"/>
      <c r="K11" s="19" t="n"/>
      <c r="L11" s="19" t="n"/>
      <c r="M11" s="16" t="n"/>
      <c r="N11" s="13" t="n"/>
      <c r="AM11" s="14" t="n"/>
    </row>
    <row r="12" ht="17" customHeight="1">
      <c r="A12" s="14" t="inlineStr">
        <is>
          <t>+</t>
        </is>
      </c>
      <c r="B12" s="11" t="inlineStr">
        <is>
          <t>Positive</t>
        </is>
      </c>
      <c r="D12" s="11">
        <f>D11+1</f>
        <v/>
      </c>
      <c r="E12" s="15" t="n"/>
      <c r="F12" s="20" t="n"/>
      <c r="G12" s="20" t="n"/>
      <c r="H12" s="19" t="n"/>
      <c r="I12" s="17" t="n"/>
      <c r="J12" s="23" t="n"/>
      <c r="K12" s="17" t="n"/>
      <c r="L12" s="17" t="n"/>
      <c r="M12" s="17" t="n"/>
      <c r="N12" s="21" t="n"/>
      <c r="O12" s="13" t="n"/>
      <c r="AM12" s="14" t="n"/>
    </row>
    <row r="13" ht="17" customHeight="1">
      <c r="A13" s="14" t="n"/>
      <c r="B13" s="11" t="inlineStr">
        <is>
          <t>Neutral, Not Applicable</t>
        </is>
      </c>
      <c r="D13" s="11">
        <f>D12+1</f>
        <v/>
      </c>
      <c r="E13" s="15" t="n"/>
      <c r="F13" s="20" t="n"/>
      <c r="G13" s="20" t="n"/>
      <c r="H13" s="19" t="n"/>
      <c r="I13" s="17" t="n"/>
      <c r="J13" s="19" t="n"/>
      <c r="K13" s="19" t="n"/>
      <c r="L13" s="19" t="n"/>
      <c r="M13" s="19" t="n">
        <v>-2</v>
      </c>
      <c r="N13" s="19" t="n">
        <v>1</v>
      </c>
      <c r="O13" s="24" t="n"/>
      <c r="P13" s="13" t="n"/>
      <c r="AM13" s="14" t="n"/>
    </row>
    <row r="14" ht="17" customHeight="1">
      <c r="A14" s="14" t="inlineStr">
        <is>
          <t>x</t>
        </is>
      </c>
      <c r="B14" s="11" t="inlineStr">
        <is>
          <t>Negative</t>
        </is>
      </c>
      <c r="D14" s="11">
        <f>D13+1</f>
        <v/>
      </c>
      <c r="E14" s="15" t="n"/>
      <c r="F14" s="20" t="n"/>
      <c r="G14" s="20" t="n"/>
      <c r="H14" s="19" t="n"/>
      <c r="I14" s="17" t="n"/>
      <c r="J14" s="20" t="n"/>
      <c r="K14" s="20" t="n"/>
      <c r="L14" s="20" t="n"/>
      <c r="M14" s="20" t="n"/>
      <c r="N14" s="20" t="n"/>
      <c r="O14" s="22" t="n"/>
      <c r="P14" s="16" t="n"/>
      <c r="Q14" s="13" t="n"/>
      <c r="AM14" s="14" t="n"/>
    </row>
    <row r="15" ht="17" customHeight="1">
      <c r="A15" s="14" t="inlineStr">
        <is>
          <t>x x</t>
        </is>
      </c>
      <c r="B15" s="11" t="inlineStr">
        <is>
          <t>Strong Negative</t>
        </is>
      </c>
      <c r="D15" s="11">
        <f>D14+1</f>
        <v/>
      </c>
      <c r="E15" s="15" t="n"/>
      <c r="F15" s="20" t="n"/>
      <c r="G15" s="20" t="n"/>
      <c r="H15" s="19" t="n"/>
      <c r="I15" s="17" t="n"/>
      <c r="J15" s="20" t="n"/>
      <c r="K15" s="20" t="n"/>
      <c r="L15" s="20" t="n"/>
      <c r="M15" s="20" t="n"/>
      <c r="N15" s="20" t="n"/>
      <c r="O15" s="22" t="n"/>
      <c r="P15" s="19" t="n">
        <v>1</v>
      </c>
      <c r="Q15" s="16" t="n"/>
      <c r="R15" s="13" t="n"/>
      <c r="AM15" s="14" t="n"/>
    </row>
    <row r="16" ht="17" customHeight="1">
      <c r="B16" s="8" t="n"/>
      <c r="D16" s="11">
        <f>D15+1</f>
        <v/>
      </c>
      <c r="E16" s="15" t="n"/>
      <c r="F16" s="20" t="n"/>
      <c r="G16" s="20" t="n"/>
      <c r="H16" s="20" t="n"/>
      <c r="I16" s="19" t="n"/>
      <c r="J16" s="19" t="n"/>
      <c r="K16" s="19" t="n"/>
      <c r="L16" s="19" t="n"/>
      <c r="M16" s="19" t="n"/>
      <c r="N16" s="19" t="n"/>
      <c r="O16" s="22" t="n"/>
      <c r="P16" s="19" t="n">
        <v>2</v>
      </c>
      <c r="Q16" s="19" t="n"/>
      <c r="R16" s="16" t="n"/>
      <c r="S16" s="13" t="n"/>
      <c r="AM16" s="14" t="n"/>
    </row>
    <row r="17" ht="17" customHeight="1">
      <c r="B17" s="8" t="n"/>
      <c r="D17" s="11">
        <f>D16+1</f>
        <v/>
      </c>
      <c r="E17" s="15" t="n"/>
      <c r="F17" s="20" t="n"/>
      <c r="G17" s="20" t="n"/>
      <c r="H17" s="20" t="n"/>
      <c r="I17" s="20" t="n"/>
      <c r="J17" s="20" t="n"/>
      <c r="K17" s="20" t="n">
        <v>1</v>
      </c>
      <c r="L17" s="20" t="n">
        <v>1</v>
      </c>
      <c r="M17" s="20" t="n"/>
      <c r="N17" s="20" t="n"/>
      <c r="O17" s="23" t="n"/>
      <c r="P17" s="17" t="n"/>
      <c r="Q17" s="17" t="n"/>
      <c r="R17" s="17" t="n"/>
      <c r="S17" s="21" t="n"/>
      <c r="T17" s="13" t="n"/>
      <c r="AM17" s="14" t="n"/>
    </row>
    <row r="18" ht="17" customHeight="1">
      <c r="B18" s="8" t="n"/>
      <c r="D18" s="11">
        <f>D17+1</f>
        <v/>
      </c>
      <c r="E18" s="15" t="n"/>
      <c r="F18" s="25" t="n"/>
      <c r="G18" s="20" t="n"/>
      <c r="H18" s="20" t="n"/>
      <c r="I18" s="20" t="n"/>
      <c r="J18" s="20" t="n"/>
      <c r="K18" s="20" t="n"/>
      <c r="L18" s="20" t="n"/>
      <c r="M18" s="20" t="n"/>
      <c r="N18" s="20" t="n"/>
      <c r="O18" s="19" t="n"/>
      <c r="P18" s="19" t="n"/>
      <c r="Q18" s="19" t="n"/>
      <c r="R18" s="19" t="n"/>
      <c r="S18" s="19" t="n">
        <v>2</v>
      </c>
      <c r="T18" s="16" t="n"/>
      <c r="U18" s="13" t="n"/>
      <c r="AM18" s="14" t="n"/>
    </row>
    <row r="19" ht="17" customHeight="1">
      <c r="B19" s="10" t="n"/>
      <c r="D19" s="11">
        <f>D18+1</f>
        <v/>
      </c>
      <c r="E19" s="15" t="n"/>
      <c r="F19" s="22" t="n"/>
      <c r="G19" s="26" t="n"/>
      <c r="H19" s="20" t="n"/>
      <c r="I19" s="20" t="n"/>
      <c r="J19" s="20" t="n"/>
      <c r="K19" s="20" t="n"/>
      <c r="L19" s="20" t="n"/>
      <c r="M19" s="20" t="n"/>
      <c r="N19" s="20" t="n"/>
      <c r="O19" s="20" t="n"/>
      <c r="P19" s="20" t="n"/>
      <c r="Q19" s="20" t="n"/>
      <c r="R19" s="20" t="n"/>
      <c r="S19" s="20" t="n"/>
      <c r="T19" s="17" t="n"/>
      <c r="U19" s="21" t="n"/>
      <c r="V19" s="13" t="n"/>
    </row>
    <row r="20" ht="17" customHeight="1">
      <c r="D20" s="11">
        <f>D19+1</f>
        <v/>
      </c>
      <c r="E20" s="15" t="n"/>
      <c r="F20" s="22" t="n"/>
      <c r="G20" s="22" t="n"/>
      <c r="H20" s="22" t="n"/>
      <c r="I20" s="20" t="n"/>
      <c r="J20" s="20" t="n"/>
      <c r="K20" s="20" t="n"/>
      <c r="L20" s="20" t="n"/>
      <c r="M20" s="20" t="n"/>
      <c r="N20" s="20" t="n"/>
      <c r="O20" s="20" t="n"/>
      <c r="P20" s="20" t="n"/>
      <c r="Q20" s="20" t="n"/>
      <c r="R20" s="20" t="n"/>
      <c r="S20" s="20" t="n"/>
      <c r="T20" s="19" t="n"/>
      <c r="U20" s="22" t="n"/>
      <c r="V20" s="16" t="n"/>
      <c r="W20" s="13" t="n"/>
    </row>
    <row r="21" ht="17" customHeight="1">
      <c r="D21" s="11">
        <f>D20+1</f>
        <v/>
      </c>
      <c r="E21" s="27" t="n"/>
      <c r="F21" s="23" t="n"/>
      <c r="G21" s="23" t="n"/>
      <c r="H21" s="23" t="n"/>
      <c r="I21" s="23" t="n"/>
      <c r="J21" s="23" t="n"/>
      <c r="K21" s="23" t="n"/>
      <c r="L21" s="23" t="n"/>
      <c r="M21" s="23" t="n"/>
      <c r="N21" s="23" t="n"/>
      <c r="O21" s="23" t="n"/>
      <c r="P21" s="23" t="n"/>
      <c r="Q21" s="23" t="n"/>
      <c r="R21" s="23" t="n"/>
      <c r="S21" s="23" t="n"/>
      <c r="T21" s="17" t="n"/>
      <c r="U21" s="17" t="n"/>
      <c r="V21" s="17" t="n"/>
      <c r="W21" s="21" t="n"/>
      <c r="X21" s="13" t="n"/>
    </row>
    <row r="22" ht="17" customHeight="1">
      <c r="D22" s="11">
        <f>D21+1</f>
        <v/>
      </c>
      <c r="E22" s="15" t="n"/>
      <c r="F22" s="19" t="n"/>
      <c r="G22" s="19" t="n"/>
      <c r="H22" s="19" t="n"/>
      <c r="I22" s="19" t="n"/>
      <c r="J22" s="19" t="n"/>
      <c r="K22" s="19" t="n"/>
      <c r="L22" s="19" t="n"/>
      <c r="M22" s="19" t="n"/>
      <c r="N22" s="19" t="n"/>
      <c r="O22" s="19" t="n"/>
      <c r="P22" s="19" t="n"/>
      <c r="Q22" s="19" t="n"/>
      <c r="R22" s="19" t="n"/>
      <c r="S22" s="19" t="n"/>
      <c r="T22" s="19" t="n"/>
      <c r="U22" s="19" t="n"/>
      <c r="V22" s="19" t="n"/>
      <c r="W22" s="19" t="n"/>
      <c r="X22" s="16" t="n"/>
      <c r="Y22" s="13" t="n"/>
    </row>
    <row r="23" ht="17" customHeight="1">
      <c r="D23" s="11">
        <f>D22+1</f>
        <v/>
      </c>
      <c r="E23" s="28" t="n"/>
      <c r="F23" s="20" t="n"/>
      <c r="G23" s="20" t="n"/>
      <c r="H23" s="20" t="n"/>
      <c r="I23" s="20" t="n"/>
      <c r="J23" s="20" t="n"/>
      <c r="K23" s="20" t="n"/>
      <c r="L23" s="20" t="n"/>
      <c r="M23" s="20" t="n"/>
      <c r="N23" s="20" t="n"/>
      <c r="O23" s="20" t="n"/>
      <c r="P23" s="20" t="n"/>
      <c r="Q23" s="20" t="n"/>
      <c r="R23" s="20" t="n"/>
      <c r="S23" s="20" t="n"/>
      <c r="T23" s="20" t="n"/>
      <c r="U23" s="20" t="n"/>
      <c r="V23" s="20" t="n"/>
      <c r="W23" s="20" t="n"/>
      <c r="X23" s="17" t="n"/>
      <c r="Y23" s="21" t="n"/>
      <c r="Z23" s="13" t="n"/>
    </row>
    <row r="24" ht="17" customHeight="1">
      <c r="D24" s="11">
        <f>D23+1</f>
        <v/>
      </c>
      <c r="E24" s="28" t="n"/>
      <c r="F24" s="20" t="n"/>
      <c r="G24" s="20" t="n"/>
      <c r="H24" s="20" t="n"/>
      <c r="I24" s="20" t="n"/>
      <c r="J24" s="20" t="n"/>
      <c r="K24" s="20" t="n"/>
      <c r="L24" s="20" t="n"/>
      <c r="M24" s="20" t="n"/>
      <c r="N24" s="20" t="n"/>
      <c r="O24" s="20" t="n"/>
      <c r="P24" s="20" t="n"/>
      <c r="Q24" s="20" t="n"/>
      <c r="R24" s="20" t="n"/>
      <c r="S24" s="20" t="n"/>
      <c r="T24" s="20" t="n"/>
      <c r="U24" s="20" t="n"/>
      <c r="V24" s="20" t="n"/>
      <c r="W24" s="20" t="n"/>
      <c r="X24" s="19" t="n"/>
      <c r="Y24" s="22" t="n"/>
      <c r="Z24" s="16" t="n"/>
      <c r="AA24" s="13" t="n"/>
    </row>
    <row r="25" ht="17" customHeight="1">
      <c r="D25" s="11">
        <f>D24+1</f>
        <v/>
      </c>
      <c r="E25" s="28" t="n"/>
      <c r="F25" s="20" t="n"/>
      <c r="G25" s="20" t="n"/>
      <c r="H25" s="20" t="n"/>
      <c r="I25" s="20" t="n"/>
      <c r="J25" s="20" t="n"/>
      <c r="K25" s="20" t="n"/>
      <c r="L25" s="20" t="n"/>
      <c r="M25" s="20" t="n"/>
      <c r="N25" s="20" t="n"/>
      <c r="O25" s="20" t="n"/>
      <c r="P25" s="20" t="n"/>
      <c r="Q25" s="20" t="n"/>
      <c r="R25" s="20" t="n"/>
      <c r="S25" s="20" t="n"/>
      <c r="T25" s="20" t="n"/>
      <c r="U25" s="20" t="n"/>
      <c r="V25" s="20" t="n"/>
      <c r="W25" s="20" t="n"/>
      <c r="X25" s="19" t="n"/>
      <c r="Y25" s="22" t="n"/>
      <c r="Z25" s="19" t="n"/>
      <c r="AA25" s="16" t="n"/>
      <c r="AB25" s="13" t="n"/>
    </row>
    <row r="26" ht="17" customHeight="1">
      <c r="D26" s="11">
        <f>D25+1</f>
        <v/>
      </c>
      <c r="E26" s="28" t="n"/>
      <c r="F26" s="20" t="n"/>
      <c r="G26" s="20" t="n"/>
      <c r="H26" s="20" t="n"/>
      <c r="I26" s="20" t="n"/>
      <c r="J26" s="20" t="n"/>
      <c r="K26" s="20" t="n"/>
      <c r="L26" s="20" t="n"/>
      <c r="M26" s="20" t="n"/>
      <c r="N26" s="20" t="n"/>
      <c r="O26" s="20" t="n"/>
      <c r="P26" s="20" t="n"/>
      <c r="Q26" s="20" t="n"/>
      <c r="R26" s="20" t="n"/>
      <c r="S26" s="20" t="n"/>
      <c r="T26" s="20" t="n"/>
      <c r="U26" s="20" t="n"/>
      <c r="V26" s="20" t="n"/>
      <c r="W26" s="20" t="n"/>
      <c r="X26" s="19" t="n"/>
      <c r="Y26" s="22" t="n"/>
      <c r="Z26" s="19" t="n"/>
      <c r="AA26" s="19" t="n"/>
      <c r="AB26" s="16" t="n"/>
      <c r="AC26" s="13" t="n"/>
    </row>
    <row r="27" ht="17" customHeight="1">
      <c r="D27" s="11">
        <f>D26+1</f>
        <v/>
      </c>
      <c r="E27" s="28" t="n"/>
      <c r="F27" s="20" t="n"/>
      <c r="G27" s="20" t="n"/>
      <c r="H27" s="20" t="n"/>
      <c r="I27" s="20" t="n"/>
      <c r="J27" s="20" t="n"/>
      <c r="K27" s="20" t="n"/>
      <c r="L27" s="20" t="n"/>
      <c r="M27" s="20" t="n"/>
      <c r="N27" s="20" t="n"/>
      <c r="O27" s="20" t="n"/>
      <c r="P27" s="20" t="n"/>
      <c r="Q27" s="20" t="n"/>
      <c r="R27" s="20" t="n"/>
      <c r="S27" s="20" t="n"/>
      <c r="T27" s="20" t="n"/>
      <c r="U27" s="20" t="n"/>
      <c r="V27" s="20" t="n"/>
      <c r="W27" s="20" t="n"/>
      <c r="X27" s="19" t="n"/>
      <c r="Y27" s="22" t="n"/>
      <c r="Z27" s="19" t="n"/>
      <c r="AA27" s="19" t="n"/>
      <c r="AB27" s="19" t="n"/>
      <c r="AC27" s="16" t="n"/>
      <c r="AD27" s="13" t="n"/>
    </row>
    <row r="28" ht="15" customHeight="1">
      <c r="D28" s="11">
        <f>D27+1</f>
        <v/>
      </c>
      <c r="E28" s="28" t="n"/>
      <c r="F28" s="20" t="n"/>
      <c r="G28" s="20" t="n"/>
      <c r="H28" s="20" t="n"/>
      <c r="I28" s="20" t="n"/>
      <c r="J28" s="20" t="n"/>
      <c r="K28" s="20" t="n"/>
      <c r="L28" s="20" t="n"/>
      <c r="M28" s="20" t="n"/>
      <c r="N28" s="20" t="n"/>
      <c r="O28" s="20" t="n"/>
      <c r="P28" s="20" t="n"/>
      <c r="Q28" s="20" t="n"/>
      <c r="R28" s="20" t="n"/>
      <c r="S28" s="20" t="n"/>
      <c r="T28" s="20" t="n"/>
      <c r="U28" s="20" t="n"/>
      <c r="V28" s="20" t="n"/>
      <c r="W28" s="20" t="n"/>
      <c r="X28" s="19" t="n"/>
      <c r="Y28" s="26" t="n"/>
      <c r="Z28" s="29" t="n"/>
      <c r="AA28" s="29" t="n"/>
      <c r="AB28" s="29" t="n"/>
      <c r="AC28" s="19" t="n"/>
      <c r="AD28" s="30" t="n"/>
    </row>
    <row r="29" ht="15" customHeight="1">
      <c r="D29" s="31" t="inlineStr">
        <is>
          <t>ID</t>
        </is>
      </c>
      <c r="E29" s="28" t="n">
        <v>1</v>
      </c>
      <c r="F29" s="22">
        <f>E29+1</f>
        <v/>
      </c>
      <c r="G29" s="22">
        <f>F29+1</f>
        <v/>
      </c>
      <c r="H29" s="22">
        <f>G29+1</f>
        <v/>
      </c>
      <c r="I29" s="22">
        <f>H29+1</f>
        <v/>
      </c>
      <c r="J29" s="22">
        <f>I29+1</f>
        <v/>
      </c>
      <c r="K29" s="22">
        <f>J29+1</f>
        <v/>
      </c>
      <c r="L29" s="22">
        <f>K29+1</f>
        <v/>
      </c>
      <c r="M29" s="22">
        <f>L29+1</f>
        <v/>
      </c>
      <c r="N29" s="22">
        <f>M29+1</f>
        <v/>
      </c>
      <c r="O29" s="22">
        <f>N29+1</f>
        <v/>
      </c>
      <c r="P29" s="22">
        <f>O29+1</f>
        <v/>
      </c>
      <c r="Q29" s="22">
        <f>P29+1</f>
        <v/>
      </c>
      <c r="R29" s="22">
        <f>Q29+1</f>
        <v/>
      </c>
      <c r="S29" s="22">
        <f>R29+1</f>
        <v/>
      </c>
      <c r="T29" s="22">
        <f>S29+1</f>
        <v/>
      </c>
      <c r="U29" s="22">
        <f>T29+1</f>
        <v/>
      </c>
      <c r="V29" s="22">
        <f>U29+1</f>
        <v/>
      </c>
      <c r="W29" s="22">
        <f>V29+1</f>
        <v/>
      </c>
      <c r="X29" s="22">
        <f>W29+1</f>
        <v/>
      </c>
      <c r="Y29" s="22">
        <f>X29+1</f>
        <v/>
      </c>
      <c r="Z29" s="22">
        <f>Y29+1</f>
        <v/>
      </c>
      <c r="AA29" s="22">
        <f>Z29+1</f>
        <v/>
      </c>
      <c r="AB29" s="22">
        <f>AA29+1</f>
        <v/>
      </c>
      <c r="AC29" s="19">
        <f>AB29+1</f>
        <v/>
      </c>
      <c r="AD29" s="32">
        <f>AC29+1</f>
        <v/>
      </c>
      <c r="AE29" s="33" t="inlineStr">
        <is>
          <t>Engineering Characteristics</t>
        </is>
      </c>
      <c r="AF29" s="34" t="n"/>
      <c r="AG29" s="34" t="n"/>
      <c r="AH29" s="35" t="n"/>
    </row>
    <row r="30" ht="191.25" customHeight="1">
      <c r="D30" s="36" t="inlineStr">
        <is>
          <t>Relative Importance</t>
        </is>
      </c>
      <c r="E30" s="37" t="inlineStr">
        <is>
          <t>Probe frequency</t>
        </is>
      </c>
      <c r="F30" s="38" t="inlineStr">
        <is>
          <t>Aggregation window</t>
        </is>
      </c>
      <c r="G30" s="38" t="inlineStr">
        <is>
          <t>Metric payload size</t>
        </is>
      </c>
      <c r="H30" s="38" t="inlineStr">
        <is>
          <t>Probe batch size</t>
        </is>
      </c>
      <c r="I30" s="38" t="inlineStr">
        <is>
          <t>LLM routing granularity</t>
        </is>
      </c>
      <c r="J30" s="38" t="inlineStr">
        <is>
          <t>Parallel agent dispatch count</t>
        </is>
      </c>
      <c r="K30" s="38" t="inlineStr">
        <is>
          <t>Prompt-cache hit rate</t>
        </is>
      </c>
      <c r="L30" s="38" t="inlineStr">
        <is>
          <t>Context tokens per agent call</t>
        </is>
      </c>
      <c r="M30" s="38" t="inlineStr">
        <is>
          <t>Traceback cache TTL</t>
        </is>
      </c>
      <c r="N30" s="38" t="inlineStr">
        <is>
          <t>Citation completeness floor</t>
        </is>
      </c>
      <c r="O30" s="38" t="inlineStr">
        <is>
          <t>Vendor-doc refresh cadence</t>
        </is>
      </c>
      <c r="P30" s="38" t="inlineStr">
        <is>
          <t>Spec artifact format count</t>
        </is>
      </c>
      <c r="Q30" s="38" t="inlineStr">
        <is>
          <t>Quick Start step count</t>
        </is>
      </c>
      <c r="R30" s="38" t="inlineStr">
        <is>
          <t>CLI bundle size</t>
        </is>
      </c>
      <c r="S30" s="38" t="inlineStr">
        <is>
          <t>Founder intake turn budget</t>
        </is>
      </c>
      <c r="T30" s="38" t="inlineStr">
        <is>
          <t>Streaming UI chunk cadence</t>
        </is>
      </c>
      <c r="U30" s="38" t="inlineStr">
        <is>
          <t>Credential rotation cadence</t>
        </is>
      </c>
      <c r="V30" s="38" t="inlineStr">
        <is>
          <t>Audit log retention</t>
        </is>
      </c>
      <c r="W30" s="38" t="n"/>
      <c r="X30" s="39" t="n"/>
      <c r="Y30" s="40" t="n"/>
      <c r="Z30" s="39" t="n"/>
      <c r="AA30" s="39" t="n"/>
      <c r="AB30" s="39" t="n"/>
      <c r="AC30" s="39" t="n"/>
      <c r="AD30" s="41" t="n"/>
      <c r="AE30" s="42" t="inlineStr">
        <is>
          <t>Customer Perception / Performance Scores</t>
        </is>
      </c>
      <c r="AF30" s="43" t="n"/>
      <c r="AG30" s="43" t="n"/>
      <c r="AH30" s="43" t="n"/>
      <c r="AI30" s="43" t="n"/>
      <c r="AJ30" s="43" t="n"/>
      <c r="AK30" s="43" t="n"/>
      <c r="AL30" s="43" t="n"/>
    </row>
    <row r="31" ht="15.75" customHeight="1">
      <c r="B31" s="8" t="inlineStr">
        <is>
          <t>Performance Criteria (or Measures) / Customer Attributes</t>
        </is>
      </c>
      <c r="C31" s="31" t="inlineStr">
        <is>
          <t>Direction of Change   ↑  ↓</t>
        </is>
      </c>
      <c r="D31" s="44" t="n"/>
      <c r="E31" s="45" t="inlineStr">
        <is>
          <t>↓</t>
        </is>
      </c>
      <c r="F31" s="46" t="inlineStr">
        <is>
          <t>↓</t>
        </is>
      </c>
      <c r="G31" s="46" t="inlineStr">
        <is>
          <t>↓</t>
        </is>
      </c>
      <c r="H31" s="46" t="inlineStr">
        <is>
          <t>↑</t>
        </is>
      </c>
      <c r="I31" s="46" t="inlineStr">
        <is>
          <t>target</t>
        </is>
      </c>
      <c r="J31" s="46" t="inlineStr">
        <is>
          <t>↑</t>
        </is>
      </c>
      <c r="K31" s="46" t="inlineStr">
        <is>
          <t>↑</t>
        </is>
      </c>
      <c r="L31" s="46" t="inlineStr">
        <is>
          <t>↓</t>
        </is>
      </c>
      <c r="M31" s="46" t="inlineStr">
        <is>
          <t>target</t>
        </is>
      </c>
      <c r="N31" s="46" t="inlineStr">
        <is>
          <t>↑</t>
        </is>
      </c>
      <c r="O31" s="46" t="inlineStr">
        <is>
          <t>↓</t>
        </is>
      </c>
      <c r="P31" s="46" t="inlineStr">
        <is>
          <t>↓</t>
        </is>
      </c>
      <c r="Q31" s="46" t="inlineStr">
        <is>
          <t>↓</t>
        </is>
      </c>
      <c r="R31" s="46" t="inlineStr">
        <is>
          <t>↓</t>
        </is>
      </c>
      <c r="S31" s="47" t="inlineStr">
        <is>
          <t>↓</t>
        </is>
      </c>
      <c r="T31" s="47" t="inlineStr">
        <is>
          <t>↓</t>
        </is>
      </c>
      <c r="U31" s="47" t="inlineStr">
        <is>
          <t>↓</t>
        </is>
      </c>
      <c r="V31" s="47" t="inlineStr">
        <is>
          <t>target</t>
        </is>
      </c>
      <c r="W31" s="47" t="n"/>
      <c r="X31" s="47" t="n"/>
      <c r="Y31" s="47" t="n"/>
      <c r="Z31" s="46" t="n"/>
      <c r="AA31" s="46" t="n"/>
      <c r="AB31" s="46" t="n"/>
      <c r="AC31" s="46" t="n"/>
      <c r="AD31" s="48" t="n"/>
      <c r="AE31" s="33" t="inlineStr">
        <is>
          <t>Normalized &amp; Unweighted</t>
        </is>
      </c>
      <c r="AF31" s="34" t="n"/>
      <c r="AG31" s="34" t="n"/>
      <c r="AH31" s="34" t="n"/>
      <c r="AI31" s="35" t="n"/>
      <c r="AJ31" s="33" t="inlineStr">
        <is>
          <t>Normalized &amp; Weighted</t>
        </is>
      </c>
      <c r="AK31" s="34" t="n"/>
      <c r="AL31" s="34" t="n"/>
      <c r="AM31" s="34" t="n"/>
      <c r="AN31" s="35" t="n"/>
    </row>
    <row r="32" ht="17" customHeight="1">
      <c r="A32" s="31" t="inlineStr">
        <is>
          <t>ID</t>
        </is>
      </c>
      <c r="B32" s="49" t="inlineStr">
        <is>
          <t>Full Attribute/Goal/Add'l Info</t>
        </is>
      </c>
      <c r="C32" s="49" t="inlineStr">
        <is>
          <t>Short Name</t>
        </is>
      </c>
      <c r="D32" s="50">
        <f>SUM(D33:D44)</f>
        <v/>
      </c>
      <c r="E32" s="51" t="n"/>
      <c r="F32" s="52" t="n"/>
      <c r="G32" s="52" t="n"/>
      <c r="H32" s="52" t="n"/>
      <c r="I32" s="52" t="n"/>
      <c r="J32" s="52" t="n"/>
      <c r="K32" s="52" t="n"/>
      <c r="L32" s="52" t="n"/>
      <c r="M32" s="52" t="n"/>
      <c r="N32" s="52" t="n"/>
      <c r="O32" s="52" t="n"/>
      <c r="P32" s="52" t="n"/>
      <c r="Q32" s="52" t="n"/>
      <c r="R32" s="52" t="n"/>
      <c r="S32" s="52" t="n"/>
      <c r="T32" s="52" t="n"/>
      <c r="U32" s="52" t="n"/>
      <c r="V32" s="52" t="n"/>
      <c r="W32" s="52" t="n"/>
      <c r="X32" s="52" t="n"/>
      <c r="Y32" s="52" t="n"/>
      <c r="Z32" s="52" t="n"/>
      <c r="AA32" s="52" t="n"/>
      <c r="AB32" s="52" t="n"/>
      <c r="AC32" s="52" t="n"/>
      <c r="AD32" s="53" t="n"/>
      <c r="AE32" s="54" t="inlineStr">
        <is>
          <t>A(low)</t>
        </is>
      </c>
      <c r="AF32" s="55" t="inlineStr">
        <is>
          <t>A(high)</t>
        </is>
      </c>
      <c r="AG32" s="55" t="inlineStr">
        <is>
          <t>A(target)</t>
        </is>
      </c>
      <c r="AH32" s="56" t="inlineStr">
        <is>
          <t>B</t>
        </is>
      </c>
      <c r="AI32" s="56" t="inlineStr">
        <is>
          <t>C</t>
        </is>
      </c>
      <c r="AJ32" s="54" t="inlineStr">
        <is>
          <t>A(low)</t>
        </is>
      </c>
      <c r="AK32" s="55" t="inlineStr">
        <is>
          <t>A(high)</t>
        </is>
      </c>
      <c r="AL32" s="57" t="inlineStr">
        <is>
          <t>A(target)</t>
        </is>
      </c>
      <c r="AM32" s="58" t="inlineStr">
        <is>
          <t>B</t>
        </is>
      </c>
      <c r="AN32" s="59" t="inlineStr">
        <is>
          <t>C</t>
        </is>
      </c>
    </row>
    <row r="33">
      <c r="A33" s="11" t="n">
        <v>1</v>
      </c>
      <c r="B33" s="60" t="inlineStr">
        <is>
          <t>The system shall impose minimal overhead on customer production systems it observes.</t>
        </is>
      </c>
      <c r="C33" s="61" t="inlineStr">
        <is>
          <t>Non-invasiveness</t>
        </is>
      </c>
      <c r="D33" s="62" t="n">
        <v>0.2</v>
      </c>
      <c r="E33" s="63" t="n">
        <v>2</v>
      </c>
      <c r="F33" s="64" t="n">
        <v>-1</v>
      </c>
      <c r="G33" s="64" t="n">
        <v>2</v>
      </c>
      <c r="H33" s="64" t="n">
        <v>1</v>
      </c>
      <c r="I33" s="64" t="n"/>
      <c r="J33" s="64" t="n"/>
      <c r="K33" s="64" t="n"/>
      <c r="L33" s="64" t="n"/>
      <c r="M33" s="64" t="n"/>
      <c r="N33" s="64" t="n"/>
      <c r="O33" s="64" t="n"/>
      <c r="P33" s="64" t="n"/>
      <c r="Q33" s="64" t="n"/>
      <c r="R33" s="64" t="n"/>
      <c r="S33" s="64" t="n"/>
      <c r="T33" s="64" t="n"/>
      <c r="U33" s="64" t="n"/>
      <c r="V33" s="64" t="n"/>
      <c r="W33" s="64" t="n"/>
      <c r="X33" s="64" t="n"/>
      <c r="Y33" s="64" t="n"/>
      <c r="Z33" s="64" t="n"/>
      <c r="AA33" s="64" t="n"/>
      <c r="AB33" s="64" t="n"/>
      <c r="AC33" s="64" t="n"/>
      <c r="AD33" s="65" t="n"/>
      <c r="AE33" s="66" t="n">
        <v>3</v>
      </c>
      <c r="AF33" s="67" t="n">
        <v>5</v>
      </c>
      <c r="AG33" s="67" t="n">
        <v>4</v>
      </c>
      <c r="AH33" s="67" t="n">
        <v>5</v>
      </c>
      <c r="AI33" s="68" t="n">
        <v>5</v>
      </c>
      <c r="AJ33" s="69">
        <f>AE33*$D33</f>
        <v/>
      </c>
      <c r="AK33" s="70">
        <f>AF33*$D33</f>
        <v/>
      </c>
      <c r="AL33" s="70">
        <f>AG33*$D33</f>
        <v/>
      </c>
      <c r="AM33" s="70">
        <f>AH33*$D33</f>
        <v/>
      </c>
      <c r="AN33" s="71">
        <f>AI33*$D33</f>
        <v/>
      </c>
    </row>
    <row r="34">
      <c r="A34" s="11">
        <f>A33+1</f>
        <v/>
      </c>
      <c r="B34" s="72" t="inlineStr">
        <is>
          <t>The system shall deliver recommendations quickly after a metric deviation is detected.</t>
        </is>
      </c>
      <c r="C34" s="73" t="inlineStr">
        <is>
          <t>Feedback Latency</t>
        </is>
      </c>
      <c r="D34" s="74" t="n">
        <v>0.2</v>
      </c>
      <c r="E34" s="75" t="n">
        <v>-2</v>
      </c>
      <c r="F34" s="76" t="n">
        <v>2</v>
      </c>
      <c r="G34" s="76" t="n">
        <v>1</v>
      </c>
      <c r="H34" s="76" t="n">
        <v>-1</v>
      </c>
      <c r="I34" s="76" t="n"/>
      <c r="J34" s="76" t="n">
        <v>1</v>
      </c>
      <c r="K34" s="76" t="n">
        <v>1</v>
      </c>
      <c r="L34" s="76" t="n">
        <v>1</v>
      </c>
      <c r="M34" s="76" t="n">
        <v>2</v>
      </c>
      <c r="N34" s="76" t="n">
        <v>1</v>
      </c>
      <c r="O34" s="76" t="n">
        <v>1</v>
      </c>
      <c r="P34" s="76" t="n"/>
      <c r="Q34" s="76" t="n"/>
      <c r="R34" s="76" t="n"/>
      <c r="S34" s="76" t="n"/>
      <c r="T34" s="76" t="n"/>
      <c r="U34" s="76" t="n"/>
      <c r="V34" s="76" t="n"/>
      <c r="W34" s="76" t="n"/>
      <c r="X34" s="76" t="n"/>
      <c r="Y34" s="76" t="n"/>
      <c r="Z34" s="76" t="n"/>
      <c r="AA34" s="76" t="n"/>
      <c r="AB34" s="76" t="n"/>
      <c r="AC34" s="76" t="n"/>
      <c r="AD34" s="77" t="n"/>
      <c r="AE34" s="78" t="n">
        <v>3</v>
      </c>
      <c r="AF34" s="79" t="n">
        <v>4</v>
      </c>
      <c r="AG34" s="79" t="n">
        <v>3</v>
      </c>
      <c r="AH34" s="79" t="n">
        <v>1</v>
      </c>
      <c r="AI34" s="80" t="n">
        <v>1</v>
      </c>
      <c r="AJ34" s="81">
        <f>AE34*$D34</f>
        <v/>
      </c>
      <c r="AK34" s="82">
        <f>AF34*$D34</f>
        <v/>
      </c>
      <c r="AL34" s="82">
        <f>AG34*$D34</f>
        <v/>
      </c>
      <c r="AM34" s="82">
        <f>AH34*$D34</f>
        <v/>
      </c>
      <c r="AN34" s="83">
        <f>AI34*$D34</f>
        <v/>
      </c>
    </row>
    <row r="35">
      <c r="A35" s="11">
        <f>A34+1</f>
        <v/>
      </c>
      <c r="B35" s="84" t="inlineStr">
        <is>
          <t>The system shall back every tech-stack recommendation with a verifiable metric citation.</t>
        </is>
      </c>
      <c r="C35" s="85" t="inlineStr">
        <is>
          <t>Traceback Coverage</t>
        </is>
      </c>
      <c r="D35" s="74" t="n">
        <v>0.2</v>
      </c>
      <c r="E35" s="75" t="n"/>
      <c r="F35" s="76" t="n"/>
      <c r="G35" s="76" t="n"/>
      <c r="H35" s="76" t="n"/>
      <c r="I35" s="76" t="n">
        <v>-1</v>
      </c>
      <c r="J35" s="76" t="n"/>
      <c r="K35" s="76" t="n">
        <v>1</v>
      </c>
      <c r="L35" s="76" t="n">
        <v>-2</v>
      </c>
      <c r="M35" s="76" t="n">
        <v>2</v>
      </c>
      <c r="N35" s="76" t="n">
        <v>2</v>
      </c>
      <c r="O35" s="76" t="n">
        <v>1</v>
      </c>
      <c r="P35" s="76" t="n"/>
      <c r="Q35" s="76" t="n"/>
      <c r="R35" s="76" t="n"/>
      <c r="S35" s="76" t="n"/>
      <c r="T35" s="76" t="n"/>
      <c r="U35" s="76" t="n"/>
      <c r="V35" s="76" t="n"/>
      <c r="W35" s="76" t="n"/>
      <c r="X35" s="76" t="n"/>
      <c r="Y35" s="76" t="n"/>
      <c r="Z35" s="76" t="n"/>
      <c r="AA35" s="76" t="n"/>
      <c r="AB35" s="76" t="n"/>
      <c r="AC35" s="76" t="n"/>
      <c r="AD35" s="77" t="n"/>
      <c r="AE35" s="78" t="n">
        <v>5</v>
      </c>
      <c r="AF35" s="79" t="n">
        <v>5</v>
      </c>
      <c r="AG35" s="79" t="n">
        <v>5</v>
      </c>
      <c r="AH35" s="79" t="n">
        <v>2</v>
      </c>
      <c r="AI35" s="80" t="n">
        <v>2</v>
      </c>
      <c r="AJ35" s="81">
        <f>AE35*$D35</f>
        <v/>
      </c>
      <c r="AK35" s="82">
        <f>AF35*$D35</f>
        <v/>
      </c>
      <c r="AL35" s="82">
        <f>AG35*$D35</f>
        <v/>
      </c>
      <c r="AM35" s="82">
        <f>AH35*$D35</f>
        <v/>
      </c>
      <c r="AN35" s="83">
        <f>AI35*$D35</f>
        <v/>
      </c>
    </row>
    <row r="36">
      <c r="A36" s="11">
        <f>A35+1</f>
        <v/>
      </c>
      <c r="B36" s="84" t="inlineStr">
        <is>
          <t>The system shall generate a reviewable spec shortly after idea submission.</t>
        </is>
      </c>
      <c r="C36" s="85" t="inlineStr">
        <is>
          <t>Spec Gen Time</t>
        </is>
      </c>
      <c r="D36" s="74" t="n">
        <v>0.16</v>
      </c>
      <c r="E36" s="75" t="n"/>
      <c r="F36" s="76" t="n"/>
      <c r="G36" s="76" t="n"/>
      <c r="H36" s="76" t="n"/>
      <c r="I36" s="76" t="n">
        <v>1</v>
      </c>
      <c r="J36" s="76" t="n">
        <v>2</v>
      </c>
      <c r="K36" s="76" t="n">
        <v>2</v>
      </c>
      <c r="L36" s="76" t="n">
        <v>-2</v>
      </c>
      <c r="M36" s="76" t="n"/>
      <c r="N36" s="76" t="n">
        <v>-1</v>
      </c>
      <c r="O36" s="76" t="n"/>
      <c r="P36" s="76" t="n">
        <v>2</v>
      </c>
      <c r="Q36" s="76" t="n">
        <v>1</v>
      </c>
      <c r="R36" s="76" t="n"/>
      <c r="S36" s="76" t="n"/>
      <c r="T36" s="76" t="n"/>
      <c r="U36" s="76" t="n"/>
      <c r="V36" s="76" t="n"/>
      <c r="W36" s="76" t="n"/>
      <c r="X36" s="76" t="n"/>
      <c r="Y36" s="76" t="n"/>
      <c r="Z36" s="76" t="n"/>
      <c r="AA36" s="76" t="n"/>
      <c r="AB36" s="76" t="n"/>
      <c r="AC36" s="76" t="n"/>
      <c r="AD36" s="77" t="n"/>
      <c r="AE36" s="78" t="n">
        <v>2</v>
      </c>
      <c r="AF36" s="79" t="n">
        <v>4</v>
      </c>
      <c r="AG36" s="79" t="n">
        <v>3</v>
      </c>
      <c r="AH36" s="79" t="n">
        <v>2</v>
      </c>
      <c r="AI36" s="80" t="n">
        <v>3</v>
      </c>
      <c r="AJ36" s="81">
        <f>AE36*$D36</f>
        <v/>
      </c>
      <c r="AK36" s="82">
        <f>AF36*$D36</f>
        <v/>
      </c>
      <c r="AL36" s="82">
        <f>AG36*$D36</f>
        <v/>
      </c>
      <c r="AM36" s="82">
        <f>AH36*$D36</f>
        <v/>
      </c>
      <c r="AN36" s="83">
        <f>AI36*$D36</f>
        <v/>
      </c>
    </row>
    <row r="37">
      <c r="A37" s="11">
        <f>A36+1</f>
        <v/>
      </c>
      <c r="B37" s="84" t="inlineStr">
        <is>
          <t>The system shall emit the CLI bundle quickly after spec approval.</t>
        </is>
      </c>
      <c r="C37" s="85" t="inlineStr">
        <is>
          <t>CLI Emission</t>
        </is>
      </c>
      <c r="D37" s="74" t="n">
        <v>0.12</v>
      </c>
      <c r="E37" s="75" t="n"/>
      <c r="F37" s="76" t="n"/>
      <c r="G37" s="76" t="n"/>
      <c r="H37" s="76" t="n"/>
      <c r="I37" s="76" t="n"/>
      <c r="J37" s="76" t="n"/>
      <c r="K37" s="76" t="n"/>
      <c r="L37" s="76" t="n"/>
      <c r="M37" s="76" t="n"/>
      <c r="N37" s="76" t="n"/>
      <c r="O37" s="76" t="n"/>
      <c r="P37" s="76" t="n">
        <v>1</v>
      </c>
      <c r="Q37" s="76" t="n">
        <v>2</v>
      </c>
      <c r="R37" s="76" t="n">
        <v>2</v>
      </c>
      <c r="S37" s="76" t="n"/>
      <c r="T37" s="76" t="n"/>
      <c r="U37" s="76" t="n">
        <v>-1</v>
      </c>
      <c r="V37" s="76" t="n"/>
      <c r="W37" s="76" t="n"/>
      <c r="X37" s="76" t="n"/>
      <c r="Y37" s="76" t="n"/>
      <c r="Z37" s="76" t="n"/>
      <c r="AA37" s="76" t="n"/>
      <c r="AB37" s="76" t="n"/>
      <c r="AC37" s="76" t="n"/>
      <c r="AD37" s="77" t="n"/>
      <c r="AE37" s="78" t="n">
        <v>3</v>
      </c>
      <c r="AF37" s="79" t="n">
        <v>5</v>
      </c>
      <c r="AG37" s="79" t="n">
        <v>4</v>
      </c>
      <c r="AH37" s="79" t="n">
        <v>1</v>
      </c>
      <c r="AI37" s="80" t="n">
        <v>1</v>
      </c>
      <c r="AJ37" s="81">
        <f>AE37*$D37</f>
        <v/>
      </c>
      <c r="AK37" s="82">
        <f>AF37*$D37</f>
        <v/>
      </c>
      <c r="AL37" s="82">
        <f>AG37*$D37</f>
        <v/>
      </c>
      <c r="AM37" s="82">
        <f>AH37*$D37</f>
        <v/>
      </c>
      <c r="AN37" s="83">
        <f>AI37*$D37</f>
        <v/>
      </c>
    </row>
    <row r="38">
      <c r="A38" s="11">
        <f>A37+1</f>
        <v/>
      </c>
      <c r="B38" s="84" t="inlineStr">
        <is>
          <t>The system shall feel responsive during founder intake conversation.</t>
        </is>
      </c>
      <c r="C38" s="85" t="inlineStr">
        <is>
          <t>Intake Response</t>
        </is>
      </c>
      <c r="D38" s="74" t="n">
        <v>0.12</v>
      </c>
      <c r="E38" s="75" t="n"/>
      <c r="F38" s="76" t="n"/>
      <c r="G38" s="76" t="n"/>
      <c r="H38" s="76" t="n"/>
      <c r="I38" s="76" t="n">
        <v>-1</v>
      </c>
      <c r="J38" s="76" t="n">
        <v>1</v>
      </c>
      <c r="K38" s="76" t="n">
        <v>2</v>
      </c>
      <c r="L38" s="76" t="n">
        <v>2</v>
      </c>
      <c r="M38" s="76" t="n"/>
      <c r="N38" s="76" t="n"/>
      <c r="O38" s="76" t="n"/>
      <c r="P38" s="76" t="n"/>
      <c r="Q38" s="76" t="n"/>
      <c r="R38" s="76" t="n"/>
      <c r="S38" s="76" t="n">
        <v>2</v>
      </c>
      <c r="T38" s="76" t="n">
        <v>2</v>
      </c>
      <c r="U38" s="76" t="n"/>
      <c r="V38" s="76" t="n"/>
      <c r="W38" s="76" t="n"/>
      <c r="X38" s="76" t="n"/>
      <c r="Y38" s="76" t="n"/>
      <c r="Z38" s="76" t="n"/>
      <c r="AA38" s="76" t="n"/>
      <c r="AB38" s="76" t="n"/>
      <c r="AC38" s="76" t="n"/>
      <c r="AD38" s="77" t="n"/>
      <c r="AE38" s="78" t="n">
        <v>2</v>
      </c>
      <c r="AF38" s="79" t="n">
        <v>4</v>
      </c>
      <c r="AG38" s="79" t="n">
        <v>3</v>
      </c>
      <c r="AH38" s="79" t="n">
        <v>2</v>
      </c>
      <c r="AI38" s="80" t="n">
        <v>5</v>
      </c>
      <c r="AJ38" s="81">
        <f>AE38*$D38</f>
        <v/>
      </c>
      <c r="AK38" s="82">
        <f>AF38*$D38</f>
        <v/>
      </c>
      <c r="AL38" s="82">
        <f>AG38*$D38</f>
        <v/>
      </c>
      <c r="AM38" s="82">
        <f>AH38*$D38</f>
        <v/>
      </c>
      <c r="AN38" s="83">
        <f>AI38*$D38</f>
        <v/>
      </c>
    </row>
    <row r="39">
      <c r="A39" s="11">
        <f>A38+1</f>
        <v/>
      </c>
      <c r="B39" s="84" t="n"/>
      <c r="C39" s="85" t="n"/>
      <c r="D39" s="74" t="n"/>
      <c r="E39" s="75" t="n"/>
      <c r="F39" s="76" t="n"/>
      <c r="G39" s="76" t="n"/>
      <c r="H39" s="76" t="n"/>
      <c r="I39" s="76" t="n"/>
      <c r="J39" s="76" t="n"/>
      <c r="K39" s="76" t="n"/>
      <c r="L39" s="76" t="n"/>
      <c r="M39" s="76" t="n"/>
      <c r="N39" s="76" t="n"/>
      <c r="O39" s="76" t="n"/>
      <c r="P39" s="76" t="n"/>
      <c r="Q39" s="76" t="n"/>
      <c r="R39" s="76" t="n"/>
      <c r="S39" s="76" t="n"/>
      <c r="T39" s="76" t="n"/>
      <c r="U39" s="76" t="n"/>
      <c r="V39" s="76" t="n"/>
      <c r="W39" s="76" t="n"/>
      <c r="X39" s="76" t="n"/>
      <c r="Y39" s="76" t="n"/>
      <c r="Z39" s="76" t="n"/>
      <c r="AA39" s="76" t="n"/>
      <c r="AB39" s="76" t="n"/>
      <c r="AC39" s="76" t="n"/>
      <c r="AD39" s="77" t="n"/>
      <c r="AE39" s="78" t="n">
        <v>0</v>
      </c>
      <c r="AF39" s="79" t="n">
        <v>0</v>
      </c>
      <c r="AG39" s="79" t="n"/>
      <c r="AH39" s="79" t="n">
        <v>0</v>
      </c>
      <c r="AI39" s="80" t="n">
        <v>0</v>
      </c>
      <c r="AJ39" s="81">
        <f>AE39*$D39</f>
        <v/>
      </c>
      <c r="AK39" s="82">
        <f>AF39*$D39</f>
        <v/>
      </c>
      <c r="AL39" s="82" t="n"/>
      <c r="AM39" s="82">
        <f>AH39*$D39</f>
        <v/>
      </c>
      <c r="AN39" s="83">
        <f>AI39*$D39</f>
        <v/>
      </c>
    </row>
    <row r="40">
      <c r="A40" s="11">
        <f>A39+1</f>
        <v/>
      </c>
      <c r="B40" s="84" t="n"/>
      <c r="C40" s="85" t="n"/>
      <c r="D40" s="74" t="n"/>
      <c r="E40" s="75" t="n"/>
      <c r="F40" s="76" t="n"/>
      <c r="G40" s="76" t="n"/>
      <c r="H40" s="76" t="n"/>
      <c r="I40" s="76" t="n"/>
      <c r="J40" s="76" t="n"/>
      <c r="K40" s="76" t="n"/>
      <c r="L40" s="76" t="n"/>
      <c r="M40" s="76" t="n"/>
      <c r="N40" s="76" t="n"/>
      <c r="O40" s="76" t="n"/>
      <c r="P40" s="76" t="n"/>
      <c r="Q40" s="76" t="n"/>
      <c r="R40" s="76" t="n"/>
      <c r="S40" s="76" t="n"/>
      <c r="T40" s="76" t="n"/>
      <c r="U40" s="76" t="n"/>
      <c r="V40" s="76" t="n"/>
      <c r="W40" s="76" t="n"/>
      <c r="X40" s="76" t="n"/>
      <c r="Y40" s="76" t="n"/>
      <c r="Z40" s="76" t="n"/>
      <c r="AA40" s="76" t="n"/>
      <c r="AB40" s="76" t="n"/>
      <c r="AC40" s="76" t="n"/>
      <c r="AD40" s="77" t="n"/>
      <c r="AE40" s="78" t="n">
        <v>0</v>
      </c>
      <c r="AF40" s="79" t="n">
        <v>0</v>
      </c>
      <c r="AG40" s="79" t="n"/>
      <c r="AH40" s="79" t="n">
        <v>0</v>
      </c>
      <c r="AI40" s="80" t="n">
        <v>0</v>
      </c>
      <c r="AJ40" s="81">
        <f>AE40*$D40</f>
        <v/>
      </c>
      <c r="AK40" s="82">
        <f>AF40*$D40</f>
        <v/>
      </c>
      <c r="AL40" s="82" t="n"/>
      <c r="AM40" s="82">
        <f>AH40*$D40</f>
        <v/>
      </c>
      <c r="AN40" s="83">
        <f>AI40*$D40</f>
        <v/>
      </c>
    </row>
    <row r="41">
      <c r="A41" s="11">
        <f>A40+1</f>
        <v/>
      </c>
      <c r="B41" s="84" t="n"/>
      <c r="C41" s="85" t="n"/>
      <c r="D41" s="74" t="n"/>
      <c r="E41" s="75" t="n"/>
      <c r="F41" s="76" t="n"/>
      <c r="G41" s="76" t="n"/>
      <c r="H41" s="76" t="n"/>
      <c r="I41" s="76" t="n"/>
      <c r="J41" s="76" t="n"/>
      <c r="K41" s="76" t="n"/>
      <c r="L41" s="76" t="n"/>
      <c r="M41" s="76" t="n"/>
      <c r="N41" s="76" t="n"/>
      <c r="O41" s="76" t="n"/>
      <c r="P41" s="76" t="n"/>
      <c r="Q41" s="76" t="n"/>
      <c r="R41" s="76" t="n"/>
      <c r="S41" s="76" t="n"/>
      <c r="T41" s="76" t="n"/>
      <c r="U41" s="76" t="n"/>
      <c r="V41" s="76" t="n"/>
      <c r="W41" s="76" t="n"/>
      <c r="X41" s="76" t="n"/>
      <c r="Y41" s="76" t="n"/>
      <c r="Z41" s="76" t="n"/>
      <c r="AA41" s="76" t="n"/>
      <c r="AB41" s="76" t="n"/>
      <c r="AC41" s="76" t="n"/>
      <c r="AD41" s="77" t="n"/>
      <c r="AE41" s="78" t="n">
        <v>0</v>
      </c>
      <c r="AF41" s="79" t="n">
        <v>0</v>
      </c>
      <c r="AG41" s="79" t="n"/>
      <c r="AH41" s="79" t="n">
        <v>0</v>
      </c>
      <c r="AI41" s="80" t="n">
        <v>0</v>
      </c>
      <c r="AJ41" s="81">
        <f>AE41*$D41</f>
        <v/>
      </c>
      <c r="AK41" s="82">
        <f>AF41*$D41</f>
        <v/>
      </c>
      <c r="AL41" s="82" t="n"/>
      <c r="AM41" s="82">
        <f>AH41*$D41</f>
        <v/>
      </c>
      <c r="AN41" s="83">
        <f>AI41*$D41</f>
        <v/>
      </c>
    </row>
    <row r="42">
      <c r="A42" s="11">
        <f>A41+1</f>
        <v/>
      </c>
      <c r="B42" s="84" t="n"/>
      <c r="C42" s="85" t="n"/>
      <c r="D42" s="74" t="n"/>
      <c r="E42" s="75" t="n"/>
      <c r="F42" s="76" t="n"/>
      <c r="G42" s="76" t="n"/>
      <c r="H42" s="76" t="n"/>
      <c r="I42" s="76" t="n"/>
      <c r="J42" s="76" t="n"/>
      <c r="K42" s="76" t="n"/>
      <c r="L42" s="76" t="n"/>
      <c r="M42" s="76" t="n"/>
      <c r="N42" s="76" t="n"/>
      <c r="O42" s="76" t="n"/>
      <c r="P42" s="76" t="n"/>
      <c r="Q42" s="76" t="n"/>
      <c r="R42" s="76" t="n"/>
      <c r="S42" s="76" t="n"/>
      <c r="T42" s="76" t="n"/>
      <c r="U42" s="76" t="n"/>
      <c r="V42" s="76" t="n"/>
      <c r="W42" s="76" t="n"/>
      <c r="X42" s="76" t="n"/>
      <c r="Y42" s="76" t="n"/>
      <c r="Z42" s="76" t="n"/>
      <c r="AA42" s="76" t="n"/>
      <c r="AB42" s="76" t="n"/>
      <c r="AC42" s="76" t="n"/>
      <c r="AD42" s="77" t="n"/>
      <c r="AE42" s="78" t="n">
        <v>0</v>
      </c>
      <c r="AF42" s="79" t="n">
        <v>0</v>
      </c>
      <c r="AG42" s="79" t="n"/>
      <c r="AH42" s="79" t="n">
        <v>0</v>
      </c>
      <c r="AI42" s="80" t="n">
        <v>0</v>
      </c>
      <c r="AJ42" s="81">
        <f>AE42*$D42</f>
        <v/>
      </c>
      <c r="AK42" s="82">
        <f>AF42*$D42</f>
        <v/>
      </c>
      <c r="AL42" s="82" t="n"/>
      <c r="AM42" s="82">
        <f>AH42*$D42</f>
        <v/>
      </c>
      <c r="AN42" s="83">
        <f>AI42*$D42</f>
        <v/>
      </c>
    </row>
    <row r="43">
      <c r="A43" s="11">
        <f>A42+1</f>
        <v/>
      </c>
      <c r="B43" s="84" t="n"/>
      <c r="C43" s="85" t="n"/>
      <c r="D43" s="74" t="n"/>
      <c r="E43" s="75" t="n"/>
      <c r="F43" s="76" t="n"/>
      <c r="G43" s="76" t="n"/>
      <c r="H43" s="76" t="n"/>
      <c r="I43" s="76" t="n"/>
      <c r="J43" s="76" t="n"/>
      <c r="K43" s="76" t="n"/>
      <c r="L43" s="76" t="n"/>
      <c r="M43" s="76" t="n"/>
      <c r="N43" s="76" t="n"/>
      <c r="O43" s="76" t="n"/>
      <c r="P43" s="76" t="n"/>
      <c r="Q43" s="76" t="n"/>
      <c r="R43" s="76" t="n"/>
      <c r="S43" s="76" t="n"/>
      <c r="T43" s="76" t="n"/>
      <c r="U43" s="76" t="n"/>
      <c r="V43" s="76" t="n"/>
      <c r="W43" s="76" t="n"/>
      <c r="X43" s="76" t="n"/>
      <c r="Y43" s="76" t="n"/>
      <c r="Z43" s="76" t="n"/>
      <c r="AA43" s="76" t="n"/>
      <c r="AB43" s="76" t="n"/>
      <c r="AC43" s="76" t="n"/>
      <c r="AD43" s="77" t="n"/>
      <c r="AE43" s="78" t="n">
        <v>0</v>
      </c>
      <c r="AF43" s="79" t="n">
        <v>0</v>
      </c>
      <c r="AG43" s="79" t="n"/>
      <c r="AH43" s="79" t="n">
        <v>0</v>
      </c>
      <c r="AI43" s="80" t="n">
        <v>0</v>
      </c>
      <c r="AJ43" s="81">
        <f>AE43*$D43</f>
        <v/>
      </c>
      <c r="AK43" s="82">
        <f>AF43*$D43</f>
        <v/>
      </c>
      <c r="AL43" s="82" t="n"/>
      <c r="AM43" s="82">
        <f>AH43*$D43</f>
        <v/>
      </c>
      <c r="AN43" s="83">
        <f>AI43*$D43</f>
        <v/>
      </c>
    </row>
    <row r="44" ht="17" customHeight="1">
      <c r="A44" s="11">
        <f>A43+1</f>
        <v/>
      </c>
      <c r="B44" s="86" t="n"/>
      <c r="C44" s="87" t="n"/>
      <c r="D44" s="88" t="n"/>
      <c r="E44" s="89" t="n"/>
      <c r="F44" s="90" t="n"/>
      <c r="G44" s="90" t="n"/>
      <c r="H44" s="90" t="n"/>
      <c r="I44" s="90" t="n"/>
      <c r="J44" s="90" t="n"/>
      <c r="K44" s="90" t="n"/>
      <c r="L44" s="90" t="n"/>
      <c r="M44" s="90" t="n"/>
      <c r="N44" s="90" t="n"/>
      <c r="O44" s="90" t="n"/>
      <c r="P44" s="90" t="n"/>
      <c r="Q44" s="90" t="n"/>
      <c r="R44" s="90" t="n"/>
      <c r="S44" s="90" t="n"/>
      <c r="T44" s="90" t="n"/>
      <c r="U44" s="90" t="n"/>
      <c r="V44" s="90" t="n"/>
      <c r="W44" s="90" t="n"/>
      <c r="X44" s="90" t="n"/>
      <c r="Y44" s="90" t="n"/>
      <c r="Z44" s="90" t="n"/>
      <c r="AA44" s="90" t="n"/>
      <c r="AB44" s="90" t="n"/>
      <c r="AC44" s="90" t="n"/>
      <c r="AD44" s="91" t="n"/>
      <c r="AE44" s="92" t="n">
        <v>0</v>
      </c>
      <c r="AF44" s="93" t="n">
        <v>0</v>
      </c>
      <c r="AG44" s="93" t="n"/>
      <c r="AH44" s="93" t="n">
        <v>0</v>
      </c>
      <c r="AI44" s="94" t="n">
        <v>0</v>
      </c>
      <c r="AJ44" s="95">
        <f>AE44*$D44</f>
        <v/>
      </c>
      <c r="AK44" s="96">
        <f>AF44*$D44</f>
        <v/>
      </c>
      <c r="AL44" s="96" t="n"/>
      <c r="AM44" s="96">
        <f>AH44*$D44</f>
        <v/>
      </c>
      <c r="AN44" s="97">
        <f>AI44*$D44</f>
        <v/>
      </c>
    </row>
    <row r="45" ht="17" customHeight="1">
      <c r="B45" s="31" t="inlineStr">
        <is>
          <t>Competitor Legend</t>
        </is>
      </c>
      <c r="C45" s="98" t="inlineStr">
        <is>
          <t>Measurement Units</t>
        </is>
      </c>
      <c r="D45" s="99" t="n"/>
      <c r="E45" s="100" t="inlineStr">
        <is>
          <t>probes/min</t>
        </is>
      </c>
      <c r="F45" s="100" t="inlineStr">
        <is>
          <t>min</t>
        </is>
      </c>
      <c r="G45" s="100" t="inlineStr">
        <is>
          <t>KB</t>
        </is>
      </c>
      <c r="H45" s="100" t="inlineStr">
        <is>
          <t>events/batch</t>
        </is>
      </c>
      <c r="I45" s="100" t="inlineStr">
        <is>
          <t>scale 1-3</t>
        </is>
      </c>
      <c r="J45" s="100" t="inlineStr">
        <is>
          <t>agents</t>
        </is>
      </c>
      <c r="K45" s="100" t="inlineStr">
        <is>
          <t>%</t>
        </is>
      </c>
      <c r="L45" s="100" t="inlineStr">
        <is>
          <t>tokens</t>
        </is>
      </c>
      <c r="M45" s="100" t="inlineStr">
        <is>
          <t>hours</t>
        </is>
      </c>
      <c r="N45" s="100" t="inlineStr">
        <is>
          <t>%</t>
        </is>
      </c>
      <c r="O45" s="100" t="inlineStr">
        <is>
          <t>days</t>
        </is>
      </c>
      <c r="P45" s="100" t="inlineStr">
        <is>
          <t>formats</t>
        </is>
      </c>
      <c r="Q45" s="100" t="inlineStr">
        <is>
          <t>steps</t>
        </is>
      </c>
      <c r="R45" s="100" t="inlineStr">
        <is>
          <t>MB</t>
        </is>
      </c>
      <c r="S45" s="100" t="inlineStr">
        <is>
          <t>ms</t>
        </is>
      </c>
      <c r="T45" s="100" t="inlineStr">
        <is>
          <t>ms</t>
        </is>
      </c>
      <c r="U45" s="100" t="inlineStr">
        <is>
          <t>days</t>
        </is>
      </c>
      <c r="V45" s="100" t="inlineStr">
        <is>
          <t>days</t>
        </is>
      </c>
      <c r="W45" s="100" t="inlineStr">
        <is>
          <t xml:space="preserve"> </t>
        </is>
      </c>
      <c r="X45" s="100" t="inlineStr">
        <is>
          <t xml:space="preserve"> </t>
        </is>
      </c>
      <c r="Y45" s="100" t="inlineStr">
        <is>
          <t xml:space="preserve"> </t>
        </is>
      </c>
      <c r="Z45" s="100" t="inlineStr">
        <is>
          <t xml:space="preserve"> </t>
        </is>
      </c>
      <c r="AA45" s="100" t="inlineStr">
        <is>
          <t xml:space="preserve"> </t>
        </is>
      </c>
      <c r="AB45" s="100" t="inlineStr">
        <is>
          <t xml:space="preserve"> </t>
        </is>
      </c>
      <c r="AC45" s="100" t="inlineStr">
        <is>
          <t xml:space="preserve"> </t>
        </is>
      </c>
      <c r="AD45" s="101" t="inlineStr">
        <is>
          <t xml:space="preserve"> </t>
        </is>
      </c>
      <c r="AI45" s="102" t="n"/>
      <c r="AJ45" s="102" t="n"/>
      <c r="AK45" s="102" t="n"/>
      <c r="AL45" s="102" t="n"/>
      <c r="AN45" s="103" t="n"/>
    </row>
    <row r="46">
      <c r="B46" s="9" t="inlineStr">
        <is>
          <t>B</t>
        </is>
      </c>
      <c r="C46" s="104" t="inlineStr">
        <is>
          <t>Devin (Cognition)</t>
        </is>
      </c>
      <c r="D46" s="105" t="n"/>
      <c r="E46" s="19" t="inlineStr">
        <is>
          <t>N/A</t>
        </is>
      </c>
      <c r="F46" s="19" t="inlineStr">
        <is>
          <t>N/A</t>
        </is>
      </c>
      <c r="G46" s="19" t="inlineStr">
        <is>
          <t>N/A</t>
        </is>
      </c>
      <c r="H46" s="19" t="inlineStr">
        <is>
          <t>N/A</t>
        </is>
      </c>
      <c r="I46" s="19" t="inlineStr">
        <is>
          <t>1 (per-org) Est.</t>
        </is>
      </c>
      <c r="J46" s="19" t="inlineStr">
        <is>
          <t>3 Est.</t>
        </is>
      </c>
      <c r="K46" s="19" t="inlineStr">
        <is>
          <t>50 Est.</t>
        </is>
      </c>
      <c r="L46" s="19" t="inlineStr">
        <is>
          <t>16000 Est.</t>
        </is>
      </c>
      <c r="M46" s="19" t="inlineStr">
        <is>
          <t>N/A</t>
        </is>
      </c>
      <c r="N46" s="19" t="inlineStr">
        <is>
          <t>30 Est.</t>
        </is>
      </c>
      <c r="O46" s="19" t="inlineStr">
        <is>
          <t>N/A</t>
        </is>
      </c>
      <c r="P46" s="19" t="inlineStr">
        <is>
          <t>N/A</t>
        </is>
      </c>
      <c r="Q46" s="19" t="inlineStr">
        <is>
          <t>N/A</t>
        </is>
      </c>
      <c r="R46" s="19" t="inlineStr">
        <is>
          <t>N/A</t>
        </is>
      </c>
      <c r="S46" s="19" t="inlineStr">
        <is>
          <t>3000 Est.</t>
        </is>
      </c>
      <c r="T46" s="19" t="inlineStr">
        <is>
          <t>100 Est.</t>
        </is>
      </c>
      <c r="U46" s="19" t="inlineStr">
        <is>
          <t>N/A</t>
        </is>
      </c>
      <c r="V46" s="19" t="inlineStr">
        <is>
          <t>N/A</t>
        </is>
      </c>
      <c r="W46" s="19" t="inlineStr">
        <is>
          <t xml:space="preserve"> </t>
        </is>
      </c>
      <c r="X46" s="19" t="inlineStr">
        <is>
          <t xml:space="preserve"> </t>
        </is>
      </c>
      <c r="Y46" s="19" t="inlineStr">
        <is>
          <t xml:space="preserve"> </t>
        </is>
      </c>
      <c r="Z46" s="19" t="inlineStr">
        <is>
          <t xml:space="preserve"> </t>
        </is>
      </c>
      <c r="AA46" s="19" t="inlineStr">
        <is>
          <t xml:space="preserve"> </t>
        </is>
      </c>
      <c r="AB46" s="106" t="inlineStr">
        <is>
          <t xml:space="preserve"> </t>
        </is>
      </c>
      <c r="AC46" s="106" t="inlineStr">
        <is>
          <t xml:space="preserve"> </t>
        </is>
      </c>
      <c r="AD46" s="107" t="inlineStr">
        <is>
          <t xml:space="preserve"> </t>
        </is>
      </c>
    </row>
    <row r="47">
      <c r="B47" s="9" t="inlineStr">
        <is>
          <t>C</t>
        </is>
      </c>
      <c r="C47" s="104" t="inlineStr">
        <is>
          <t>Cursor (Anysphere)</t>
        </is>
      </c>
      <c r="D47" s="105" t="n"/>
      <c r="E47" s="19" t="inlineStr">
        <is>
          <t>N/A</t>
        </is>
      </c>
      <c r="F47" s="19" t="inlineStr">
        <is>
          <t>N/A</t>
        </is>
      </c>
      <c r="G47" s="19" t="inlineStr">
        <is>
          <t>N/A</t>
        </is>
      </c>
      <c r="H47" s="19" t="inlineStr">
        <is>
          <t>N/A</t>
        </is>
      </c>
      <c r="I47" s="19" t="inlineStr">
        <is>
          <t>1 (per-org) Est.</t>
        </is>
      </c>
      <c r="J47" s="19" t="inlineStr">
        <is>
          <t>1 Est.</t>
        </is>
      </c>
      <c r="K47" s="19" t="inlineStr">
        <is>
          <t>60 Est.</t>
        </is>
      </c>
      <c r="L47" s="19" t="inlineStr">
        <is>
          <t>4000 Est.</t>
        </is>
      </c>
      <c r="M47" s="19" t="inlineStr">
        <is>
          <t>N/A</t>
        </is>
      </c>
      <c r="N47" s="19" t="inlineStr">
        <is>
          <t>20 Est.</t>
        </is>
      </c>
      <c r="O47" s="19" t="inlineStr">
        <is>
          <t>N/A</t>
        </is>
      </c>
      <c r="P47" s="19" t="inlineStr">
        <is>
          <t>N/A</t>
        </is>
      </c>
      <c r="Q47" s="19" t="inlineStr">
        <is>
          <t>N/A</t>
        </is>
      </c>
      <c r="R47" s="19" t="inlineStr">
        <is>
          <t>N/A</t>
        </is>
      </c>
      <c r="S47" s="19" t="inlineStr">
        <is>
          <t>800 Est.</t>
        </is>
      </c>
      <c r="T47" s="19" t="inlineStr">
        <is>
          <t>20 Est.</t>
        </is>
      </c>
      <c r="U47" s="19" t="inlineStr">
        <is>
          <t>N/A</t>
        </is>
      </c>
      <c r="V47" s="19" t="inlineStr">
        <is>
          <t>N/A</t>
        </is>
      </c>
      <c r="W47" s="19" t="inlineStr">
        <is>
          <t xml:space="preserve"> </t>
        </is>
      </c>
      <c r="X47" s="19" t="inlineStr">
        <is>
          <t xml:space="preserve"> </t>
        </is>
      </c>
      <c r="Y47" s="19" t="inlineStr">
        <is>
          <t xml:space="preserve"> </t>
        </is>
      </c>
      <c r="Z47" s="19" t="inlineStr">
        <is>
          <t xml:space="preserve"> </t>
        </is>
      </c>
      <c r="AA47" s="19" t="inlineStr">
        <is>
          <t xml:space="preserve"> </t>
        </is>
      </c>
      <c r="AB47" s="19" t="inlineStr">
        <is>
          <t xml:space="preserve"> </t>
        </is>
      </c>
      <c r="AC47" s="19" t="inlineStr">
        <is>
          <t xml:space="preserve"> </t>
        </is>
      </c>
      <c r="AD47" s="107" t="inlineStr">
        <is>
          <t xml:space="preserve"> </t>
        </is>
      </c>
      <c r="AH47" s="14" t="n"/>
    </row>
    <row r="48">
      <c r="B48" s="9" t="n"/>
      <c r="C48" s="104" t="inlineStr">
        <is>
          <t>(External) Requirement Thresholds</t>
        </is>
      </c>
      <c r="D48" s="105" t="n"/>
      <c r="E48" s="19" t="inlineStr">
        <is>
          <t>≤60/min</t>
        </is>
      </c>
      <c r="F48" s="19" t="inlineStr">
        <is>
          <t>≤60 min</t>
        </is>
      </c>
      <c r="G48" s="19" t="inlineStr">
        <is>
          <t>—</t>
        </is>
      </c>
      <c r="H48" s="19" t="inlineStr">
        <is>
          <t>—</t>
        </is>
      </c>
      <c r="I48" s="19" t="inlineStr">
        <is>
          <t>≥per-session</t>
        </is>
      </c>
      <c r="J48" s="19" t="inlineStr">
        <is>
          <t>—</t>
        </is>
      </c>
      <c r="K48" s="19" t="inlineStr">
        <is>
          <t>—</t>
        </is>
      </c>
      <c r="L48" s="19" t="inlineStr">
        <is>
          <t>≤200000 (Sonnet)</t>
        </is>
      </c>
      <c r="M48" s="19" t="inlineStr">
        <is>
          <t>—</t>
        </is>
      </c>
      <c r="N48" s="19" t="inlineStr">
        <is>
          <t>≥100</t>
        </is>
      </c>
      <c r="O48" s="19" t="inlineStr">
        <is>
          <t>≤30</t>
        </is>
      </c>
      <c r="P48" s="19" t="inlineStr">
        <is>
          <t>≥1</t>
        </is>
      </c>
      <c r="Q48" s="19" t="inlineStr">
        <is>
          <t>—</t>
        </is>
      </c>
      <c r="R48" s="19" t="inlineStr">
        <is>
          <t>≤50</t>
        </is>
      </c>
      <c r="S48" s="19" t="inlineStr">
        <is>
          <t>≤2000</t>
        </is>
      </c>
      <c r="T48" s="19" t="inlineStr">
        <is>
          <t>—</t>
        </is>
      </c>
      <c r="U48" s="19" t="inlineStr">
        <is>
          <t>≤90</t>
        </is>
      </c>
      <c r="V48" s="19" t="inlineStr">
        <is>
          <t>≥30</t>
        </is>
      </c>
      <c r="W48" s="19" t="inlineStr">
        <is>
          <t xml:space="preserve"> </t>
        </is>
      </c>
      <c r="X48" s="19" t="inlineStr">
        <is>
          <t xml:space="preserve"> </t>
        </is>
      </c>
      <c r="Y48" s="19" t="inlineStr">
        <is>
          <t xml:space="preserve"> </t>
        </is>
      </c>
      <c r="Z48" s="19" t="inlineStr">
        <is>
          <t xml:space="preserve"> </t>
        </is>
      </c>
      <c r="AA48" s="19" t="inlineStr">
        <is>
          <t xml:space="preserve"> </t>
        </is>
      </c>
      <c r="AB48" s="19" t="inlineStr">
        <is>
          <t xml:space="preserve"> </t>
        </is>
      </c>
      <c r="AC48" s="19" t="inlineStr">
        <is>
          <t xml:space="preserve"> </t>
        </is>
      </c>
      <c r="AD48" s="107" t="inlineStr">
        <is>
          <t xml:space="preserve"> </t>
        </is>
      </c>
      <c r="AH48" s="14" t="n"/>
    </row>
    <row r="49">
      <c r="B49" s="9" t="n"/>
      <c r="C49" s="108" t="inlineStr">
        <is>
          <t>Targets</t>
        </is>
      </c>
      <c r="D49" s="105" t="n"/>
      <c r="E49" s="109" t="n">
        <v>6</v>
      </c>
      <c r="F49" s="109" t="n">
        <v>60</v>
      </c>
      <c r="G49" s="109" t="n">
        <v>4</v>
      </c>
      <c r="H49" s="109" t="n">
        <v>50</v>
      </c>
      <c r="I49" s="109" t="inlineStr">
        <is>
          <t>per-session</t>
        </is>
      </c>
      <c r="J49" s="109" t="n">
        <v>5</v>
      </c>
      <c r="K49" s="109" t="n">
        <v>70</v>
      </c>
      <c r="L49" s="109" t="n">
        <v>8000</v>
      </c>
      <c r="M49" s="109" t="n">
        <v>24</v>
      </c>
      <c r="N49" s="109" t="n">
        <v>100</v>
      </c>
      <c r="O49" s="109" t="n">
        <v>7</v>
      </c>
      <c r="P49" s="109" t="n">
        <v>1</v>
      </c>
      <c r="Q49" s="109" t="n">
        <v>5</v>
      </c>
      <c r="R49" s="109" t="n">
        <v>5</v>
      </c>
      <c r="S49" s="109" t="n">
        <v>2000</v>
      </c>
      <c r="T49" s="109" t="n">
        <v>50</v>
      </c>
      <c r="U49" s="109" t="n">
        <v>90</v>
      </c>
      <c r="V49" s="109" t="n">
        <v>90</v>
      </c>
      <c r="W49" s="109" t="inlineStr">
        <is>
          <t xml:space="preserve"> </t>
        </is>
      </c>
      <c r="X49" s="109" t="inlineStr">
        <is>
          <t xml:space="preserve"> </t>
        </is>
      </c>
      <c r="Y49" s="109" t="inlineStr">
        <is>
          <t xml:space="preserve"> </t>
        </is>
      </c>
      <c r="Z49" s="109" t="inlineStr">
        <is>
          <t xml:space="preserve"> </t>
        </is>
      </c>
      <c r="AA49" s="109" t="inlineStr">
        <is>
          <t xml:space="preserve"> </t>
        </is>
      </c>
      <c r="AB49" s="109" t="inlineStr">
        <is>
          <t xml:space="preserve"> </t>
        </is>
      </c>
      <c r="AC49" s="109" t="inlineStr">
        <is>
          <t xml:space="preserve"> </t>
        </is>
      </c>
      <c r="AD49" s="110" t="inlineStr">
        <is>
          <t xml:space="preserve"> </t>
        </is>
      </c>
      <c r="AH49" s="14" t="n"/>
    </row>
    <row r="50">
      <c r="B50" s="9" t="n"/>
      <c r="C50" s="104" t="inlineStr">
        <is>
          <t>Imputed Importance</t>
        </is>
      </c>
      <c r="D50" s="105" t="n"/>
      <c r="E50" s="111">
        <f>SUMPRODUCT((ABS(E33:E44)), $D33:$D44)</f>
        <v/>
      </c>
      <c r="F50" s="111">
        <f>SUMPRODUCT((ABS(F33:F44)), $D33:$D44)</f>
        <v/>
      </c>
      <c r="G50" s="111">
        <f>SUMPRODUCT((ABS(G33:G44)), $D33:$D44)</f>
        <v/>
      </c>
      <c r="H50" s="111">
        <f>SUMPRODUCT((ABS(H33:H44)), $D33:$D44)</f>
        <v/>
      </c>
      <c r="I50" s="111">
        <f>SUMPRODUCT((ABS(I33:I44)), $D33:$D44)</f>
        <v/>
      </c>
      <c r="J50" s="111">
        <f>SUMPRODUCT((ABS(J33:J44)), $D33:$D44)</f>
        <v/>
      </c>
      <c r="K50" s="111">
        <f>SUMPRODUCT((ABS(K33:K44)), $D33:$D44)</f>
        <v/>
      </c>
      <c r="L50" s="111">
        <f>SUMPRODUCT((ABS(L33:L44)), $D33:$D44)</f>
        <v/>
      </c>
      <c r="M50" s="111">
        <f>SUMPRODUCT((ABS(M33:M44)), $D33:$D44)</f>
        <v/>
      </c>
      <c r="N50" s="111">
        <f>SUMPRODUCT((ABS(N33:N44)), $D33:$D44)</f>
        <v/>
      </c>
      <c r="O50" s="111">
        <f>SUMPRODUCT((ABS(O33:O44)), $D33:$D44)</f>
        <v/>
      </c>
      <c r="P50" s="111">
        <f>SUMPRODUCT((ABS(P33:P44)), $D33:$D44)</f>
        <v/>
      </c>
      <c r="Q50" s="111">
        <f>SUMPRODUCT((ABS(Q33:Q44)), $D33:$D44)</f>
        <v/>
      </c>
      <c r="R50" s="111">
        <f>SUMPRODUCT((ABS(R33:R44)), $D33:$D44)</f>
        <v/>
      </c>
      <c r="S50" s="111">
        <f>SUMPRODUCT((ABS(S33:S44)), $D33:$D44)</f>
        <v/>
      </c>
      <c r="T50" s="111">
        <f>SUMPRODUCT((ABS(T33:T44)), $D33:$D44)</f>
        <v/>
      </c>
      <c r="U50" s="111">
        <f>SUMPRODUCT((ABS(U33:U44)), $D33:$D44)</f>
        <v/>
      </c>
      <c r="V50" s="111">
        <f>SUMPRODUCT((ABS(V33:V44)), $D33:$D44)</f>
        <v/>
      </c>
      <c r="W50" s="111">
        <f>SUMPRODUCT((ABS(W33:W44)), $D33:$D44)</f>
        <v/>
      </c>
      <c r="X50" s="111">
        <f>SUMPRODUCT((ABS(X33:X44)), $D33:$D44)</f>
        <v/>
      </c>
      <c r="Y50" s="111">
        <f>SUMPRODUCT((ABS(Y33:Y44)), $D33:$D44)</f>
        <v/>
      </c>
      <c r="Z50" s="111">
        <f>SUMPRODUCT((ABS(Z33:Z44)), $D33:$D44)</f>
        <v/>
      </c>
      <c r="AA50" s="111">
        <f>SUMPRODUCT((ABS(AA33:AA44)), $D33:$D44)</f>
        <v/>
      </c>
      <c r="AB50" s="111">
        <f>SUMPRODUCT((ABS(AB33:AB44)), $D33:$D44)</f>
        <v/>
      </c>
      <c r="AC50" s="111">
        <f>SUMPRODUCT((ABS(AC33:AC44)), $D33:$D44)</f>
        <v/>
      </c>
      <c r="AD50" s="112">
        <f>SUMPRODUCT((ABS(AD33:AD44)), $D33:$D44)</f>
        <v/>
      </c>
      <c r="AH50" s="14" t="n"/>
    </row>
    <row r="51">
      <c r="B51" s="9" t="n"/>
      <c r="C51" s="104" t="inlineStr">
        <is>
          <t>Positive Imputed Importance</t>
        </is>
      </c>
      <c r="D51" s="105" t="n"/>
      <c r="E51" s="19">
        <f>(SUMPRODUCT(E33:E44, $D33:$D44) + SUMPRODUCT((ABS(E33:E44)), $D33:$D44))/2</f>
        <v/>
      </c>
      <c r="F51" s="19">
        <f>(SUMPRODUCT(F33:F44, $D33:$D44) + SUMPRODUCT((ABS(F33:F44)), $D33:$D44))/2</f>
        <v/>
      </c>
      <c r="G51" s="19">
        <f>(SUMPRODUCT(G33:G44, $D33:$D44) + SUMPRODUCT((ABS(G33:G44)), $D33:$D44))/2</f>
        <v/>
      </c>
      <c r="H51" s="19">
        <f>(SUMPRODUCT(H33:H44, $D33:$D44) + SUMPRODUCT((ABS(H33:H44)), $D33:$D44))/2</f>
        <v/>
      </c>
      <c r="I51" s="19">
        <f>(SUMPRODUCT(I33:I44, $D33:$D44) + SUMPRODUCT((ABS(I33:I44)), $D33:$D44))/2</f>
        <v/>
      </c>
      <c r="J51" s="19">
        <f>(SUMPRODUCT(J33:J44, $D33:$D44) + SUMPRODUCT((ABS(J33:J44)), $D33:$D44))/2</f>
        <v/>
      </c>
      <c r="K51" s="19">
        <f>(SUMPRODUCT(K33:K44, $D33:$D44) + SUMPRODUCT((ABS(K33:K44)), $D33:$D44))/2</f>
        <v/>
      </c>
      <c r="L51" s="19">
        <f>(SUMPRODUCT(L33:L44, $D33:$D44) + SUMPRODUCT((ABS(L33:L44)), $D33:$D44))/2</f>
        <v/>
      </c>
      <c r="M51" s="19">
        <f>(SUMPRODUCT(M33:M44, $D33:$D44) + SUMPRODUCT((ABS(M33:M44)), $D33:$D44))/2</f>
        <v/>
      </c>
      <c r="N51" s="19">
        <f>(SUMPRODUCT(N33:N44, $D33:$D44) + SUMPRODUCT((ABS(N33:N44)), $D33:$D44))/2</f>
        <v/>
      </c>
      <c r="O51" s="19">
        <f>(SUMPRODUCT(O33:O44, $D33:$D44) + SUMPRODUCT((ABS(O33:O44)), $D33:$D44))/2</f>
        <v/>
      </c>
      <c r="P51" s="19">
        <f>(SUMPRODUCT(P33:P44, $D33:$D44) + SUMPRODUCT((ABS(P33:P44)), $D33:$D44))/2</f>
        <v/>
      </c>
      <c r="Q51" s="19">
        <f>(SUMPRODUCT(Q33:Q44, $D33:$D44) + SUMPRODUCT((ABS(Q33:Q44)), $D33:$D44))/2</f>
        <v/>
      </c>
      <c r="R51" s="19">
        <f>(SUMPRODUCT(R33:R44, $D33:$D44) + SUMPRODUCT((ABS(R33:R44)), $D33:$D44))/2</f>
        <v/>
      </c>
      <c r="S51" s="19">
        <f>(SUMPRODUCT(S33:S44, $D33:$D44) + SUMPRODUCT((ABS(S33:S44)), $D33:$D44))/2</f>
        <v/>
      </c>
      <c r="T51" s="19">
        <f>(SUMPRODUCT(T33:T44, $D33:$D44) + SUMPRODUCT((ABS(T33:T44)), $D33:$D44))/2</f>
        <v/>
      </c>
      <c r="U51" s="19">
        <f>(SUMPRODUCT(U33:U44, $D33:$D44) + SUMPRODUCT((ABS(U33:U44)), $D33:$D44))/2</f>
        <v/>
      </c>
      <c r="V51" s="19">
        <f>(SUMPRODUCT(V33:V44, $D33:$D44) + SUMPRODUCT((ABS(V33:V44)), $D33:$D44))/2</f>
        <v/>
      </c>
      <c r="W51" s="19">
        <f>(SUMPRODUCT(W33:W44, $D33:$D44) + SUMPRODUCT((ABS(W33:W44)), $D33:$D44))/2</f>
        <v/>
      </c>
      <c r="X51" s="19">
        <f>(SUMPRODUCT(X33:X44, $D33:$D44) + SUMPRODUCT((ABS(X33:X44)), $D33:$D44))/2</f>
        <v/>
      </c>
      <c r="Y51" s="19">
        <f>(SUMPRODUCT(Y33:Y44, $D33:$D44) + SUMPRODUCT((ABS(Y33:Y44)), $D33:$D44))/2</f>
        <v/>
      </c>
      <c r="Z51" s="19">
        <f>(SUMPRODUCT(Z33:Z44, $D33:$D44) + SUMPRODUCT((ABS(Z33:Z44)), $D33:$D44))/2</f>
        <v/>
      </c>
      <c r="AA51" s="19">
        <f>(SUMPRODUCT(AA33:AA44, $D33:$D44) + SUMPRODUCT((ABS(AA33:AA44)), $D33:$D44))/2</f>
        <v/>
      </c>
      <c r="AB51" s="19">
        <f>(SUMPRODUCT(AB33:AB44, $D33:$D44) + SUMPRODUCT((ABS(AB33:AB44)), $D33:$D44))/2</f>
        <v/>
      </c>
      <c r="AC51" s="19">
        <f>(SUMPRODUCT(AC33:AC44, $D33:$D44) + SUMPRODUCT((ABS(AC33:AC44)), $D33:$D44))/2</f>
        <v/>
      </c>
      <c r="AD51" s="107">
        <f>(SUMPRODUCT(AD33:AD44, $D33:$D44) + SUMPRODUCT((ABS(AD33:AD44)), $D33:$D44))/2</f>
        <v/>
      </c>
      <c r="AH51" s="14" t="n"/>
    </row>
    <row r="52">
      <c r="B52" s="9" t="n"/>
      <c r="C52" s="104" t="inlineStr">
        <is>
          <t>Negative Imputed Importance</t>
        </is>
      </c>
      <c r="D52" s="105" t="n"/>
      <c r="E52" s="19">
        <f>(-SUMPRODUCT(E33:E44, $D33:$D44)+SUMPRODUCT(ABS(E33:E44), $D33:$D44))/2</f>
        <v/>
      </c>
      <c r="F52" s="19">
        <f>(-SUMPRODUCT(F33:F44, $D33:$D44)+SUMPRODUCT(ABS(F33:F44), $D33:$D44))/2</f>
        <v/>
      </c>
      <c r="G52" s="19">
        <f>(-SUMPRODUCT(G33:G44, $D33:$D44)+SUMPRODUCT(ABS(G33:G44), $D33:$D44))/2</f>
        <v/>
      </c>
      <c r="H52" s="19">
        <f>(-SUMPRODUCT(H33:H44, $D33:$D44)+SUMPRODUCT(ABS(H33:H44), $D33:$D44))/2</f>
        <v/>
      </c>
      <c r="I52" s="19">
        <f>(-SUMPRODUCT(I33:I44, $D33:$D44)+SUMPRODUCT(ABS(I33:I44), $D33:$D44))/2</f>
        <v/>
      </c>
      <c r="J52" s="19">
        <f>(-SUMPRODUCT(J33:J44, $D33:$D44)+SUMPRODUCT(ABS(J33:J44), $D33:$D44))/2</f>
        <v/>
      </c>
      <c r="K52" s="19">
        <f>(-SUMPRODUCT(K33:K44, $D33:$D44)+SUMPRODUCT(ABS(K33:K44), $D33:$D44))/2</f>
        <v/>
      </c>
      <c r="L52" s="19">
        <f>(-SUMPRODUCT(L33:L44, $D33:$D44)+SUMPRODUCT(ABS(L33:L44), $D33:$D44))/2</f>
        <v/>
      </c>
      <c r="M52" s="19">
        <f>(-SUMPRODUCT(M33:M44, $D33:$D44)+SUMPRODUCT(ABS(M33:M44), $D33:$D44))/2</f>
        <v/>
      </c>
      <c r="N52" s="19">
        <f>(-SUMPRODUCT(N33:N44, $D33:$D44)+SUMPRODUCT(ABS(N33:N44), $D33:$D44))/2</f>
        <v/>
      </c>
      <c r="O52" s="19">
        <f>(-SUMPRODUCT(O33:O44, $D33:$D44)+SUMPRODUCT(ABS(O33:O44), $D33:$D44))/2</f>
        <v/>
      </c>
      <c r="P52" s="19">
        <f>(-SUMPRODUCT(P33:P44, $D33:$D44)+SUMPRODUCT(ABS(P33:P44), $D33:$D44))/2</f>
        <v/>
      </c>
      <c r="Q52" s="19">
        <f>(-SUMPRODUCT(Q33:Q44, $D33:$D44)+SUMPRODUCT(ABS(Q33:Q44), $D33:$D44))/2</f>
        <v/>
      </c>
      <c r="R52" s="19">
        <f>(-SUMPRODUCT(R33:R44, $D33:$D44)+SUMPRODUCT(ABS(R33:R44), $D33:$D44))/2</f>
        <v/>
      </c>
      <c r="S52" s="19">
        <f>(-SUMPRODUCT(S33:S44, $D33:$D44)+SUMPRODUCT(ABS(S33:S44), $D33:$D44))/2</f>
        <v/>
      </c>
      <c r="T52" s="19">
        <f>(-SUMPRODUCT(T33:T44, $D33:$D44)+SUMPRODUCT(ABS(T33:T44), $D33:$D44))/2</f>
        <v/>
      </c>
      <c r="U52" s="19">
        <f>(-SUMPRODUCT(U33:U44, $D33:$D44)+SUMPRODUCT(ABS(U33:U44), $D33:$D44))/2</f>
        <v/>
      </c>
      <c r="V52" s="19">
        <f>(-SUMPRODUCT(V33:V44, $D33:$D44)+SUMPRODUCT(ABS(V33:V44), $D33:$D44))/2</f>
        <v/>
      </c>
      <c r="W52" s="19">
        <f>(-SUMPRODUCT(W33:W44, $D33:$D44)+SUMPRODUCT(ABS(W33:W44), $D33:$D44))/2</f>
        <v/>
      </c>
      <c r="X52" s="19">
        <f>(-SUMPRODUCT(X33:X44, $D33:$D44)+SUMPRODUCT(ABS(X33:X44), $D33:$D44))/2</f>
        <v/>
      </c>
      <c r="Y52" s="19">
        <f>(-SUMPRODUCT(Y33:Y44, $D33:$D44)+SUMPRODUCT(ABS(Y33:Y44), $D33:$D44))/2</f>
        <v/>
      </c>
      <c r="Z52" s="19">
        <f>(-SUMPRODUCT(Z33:Z44, $D33:$D44)+SUMPRODUCT(ABS(Z33:Z44), $D33:$D44))/2</f>
        <v/>
      </c>
      <c r="AA52" s="19">
        <f>(-SUMPRODUCT(AA33:AA44, $D33:$D44)+SUMPRODUCT(ABS(AA33:AA44), $D33:$D44))/2</f>
        <v/>
      </c>
      <c r="AB52" s="19">
        <f>(-SUMPRODUCT(AB33:AB44, $D33:$D44)+SUMPRODUCT(ABS(AB33:AB44), $D33:$D44))/2</f>
        <v/>
      </c>
      <c r="AC52" s="19">
        <f>(-SUMPRODUCT(AC33:AC44, $D33:$D44)+SUMPRODUCT(ABS(AC33:AC44), $D33:$D44))/2</f>
        <v/>
      </c>
      <c r="AD52" s="107">
        <f>(-SUMPRODUCT(AD33:AD44, $D33:$D44)+SUMPRODUCT(ABS(AD33:AD44), $D33:$D44))/2</f>
        <v/>
      </c>
      <c r="AH52" s="14" t="n"/>
    </row>
    <row r="53">
      <c r="C53" s="104" t="inlineStr">
        <is>
          <t>Technical Difficulty (1 Low, 5 High)</t>
        </is>
      </c>
      <c r="D53" s="105" t="n"/>
      <c r="E53" s="19" t="n">
        <v>2</v>
      </c>
      <c r="F53" s="19" t="n">
        <v>2</v>
      </c>
      <c r="G53" s="19" t="n">
        <v>2</v>
      </c>
      <c r="H53" s="19" t="n">
        <v>2</v>
      </c>
      <c r="I53" s="19" t="n">
        <v>3</v>
      </c>
      <c r="J53" s="19" t="n">
        <v>3</v>
      </c>
      <c r="K53" s="19" t="n">
        <v>3</v>
      </c>
      <c r="L53" s="19" t="n">
        <v>2</v>
      </c>
      <c r="M53" s="19" t="n">
        <v>3</v>
      </c>
      <c r="N53" s="19" t="n">
        <v>4</v>
      </c>
      <c r="O53" s="19" t="n">
        <v>3</v>
      </c>
      <c r="P53" s="19" t="n">
        <v>1</v>
      </c>
      <c r="Q53" s="19" t="n">
        <v>2</v>
      </c>
      <c r="R53" s="19" t="n">
        <v>3</v>
      </c>
      <c r="S53" s="19" t="n">
        <v>3</v>
      </c>
      <c r="T53" s="19" t="n">
        <v>3</v>
      </c>
      <c r="U53" s="19" t="n">
        <v>2</v>
      </c>
      <c r="V53" s="19" t="n">
        <v>1</v>
      </c>
      <c r="W53" s="19" t="n"/>
      <c r="X53" s="19" t="inlineStr">
        <is>
          <t xml:space="preserve"> </t>
        </is>
      </c>
      <c r="Y53" s="19" t="inlineStr">
        <is>
          <t xml:space="preserve"> </t>
        </is>
      </c>
      <c r="Z53" s="19" t="inlineStr">
        <is>
          <t xml:space="preserve"> </t>
        </is>
      </c>
      <c r="AA53" s="19" t="inlineStr">
        <is>
          <t xml:space="preserve"> </t>
        </is>
      </c>
      <c r="AB53" s="19" t="inlineStr">
        <is>
          <t xml:space="preserve"> </t>
        </is>
      </c>
      <c r="AC53" s="19" t="inlineStr">
        <is>
          <t xml:space="preserve"> </t>
        </is>
      </c>
      <c r="AD53" s="107" t="inlineStr">
        <is>
          <t xml:space="preserve"> </t>
        </is>
      </c>
      <c r="AH53" s="14" t="n"/>
    </row>
    <row r="54" ht="17" customHeight="1">
      <c r="C54" s="113" t="inlineStr">
        <is>
          <t>Estimated Cost (1 Low, 5 High)</t>
        </is>
      </c>
      <c r="D54" s="114" t="n"/>
      <c r="E54" s="115" t="n">
        <v>2</v>
      </c>
      <c r="F54" s="115" t="n">
        <v>1</v>
      </c>
      <c r="G54" s="115" t="n">
        <v>1</v>
      </c>
      <c r="H54" s="115" t="n">
        <v>1</v>
      </c>
      <c r="I54" s="115" t="n">
        <v>3</v>
      </c>
      <c r="J54" s="115" t="n">
        <v>4</v>
      </c>
      <c r="K54" s="115" t="n">
        <v>2</v>
      </c>
      <c r="L54" s="115" t="n">
        <v>1</v>
      </c>
      <c r="M54" s="115" t="n">
        <v>2</v>
      </c>
      <c r="N54" s="115" t="n">
        <v>3</v>
      </c>
      <c r="O54" s="115" t="n">
        <v>3</v>
      </c>
      <c r="P54" s="115" t="n">
        <v>1</v>
      </c>
      <c r="Q54" s="115" t="n">
        <v>2</v>
      </c>
      <c r="R54" s="115" t="n">
        <v>2</v>
      </c>
      <c r="S54" s="115" t="n">
        <v>2</v>
      </c>
      <c r="T54" s="115" t="n">
        <v>2</v>
      </c>
      <c r="U54" s="115" t="n">
        <v>2</v>
      </c>
      <c r="V54" s="115" t="n">
        <v>2</v>
      </c>
      <c r="W54" s="115" t="n"/>
      <c r="X54" s="115" t="inlineStr">
        <is>
          <t xml:space="preserve"> </t>
        </is>
      </c>
      <c r="Y54" s="115" t="inlineStr">
        <is>
          <t xml:space="preserve"> </t>
        </is>
      </c>
      <c r="Z54" s="115" t="inlineStr">
        <is>
          <t xml:space="preserve"> </t>
        </is>
      </c>
      <c r="AA54" s="115" t="inlineStr">
        <is>
          <t xml:space="preserve"> </t>
        </is>
      </c>
      <c r="AB54" s="115" t="inlineStr">
        <is>
          <t xml:space="preserve"> </t>
        </is>
      </c>
      <c r="AC54" s="115" t="inlineStr">
        <is>
          <t xml:space="preserve"> </t>
        </is>
      </c>
      <c r="AD54" s="116" t="inlineStr">
        <is>
          <t xml:space="preserve"> </t>
        </is>
      </c>
      <c r="AH54" s="14" t="n"/>
    </row>
    <row r="55">
      <c r="AH55" s="14" t="n"/>
    </row>
    <row r="56">
      <c r="AH56" s="14" t="n"/>
      <c r="AN56" s="8" t="n"/>
    </row>
    <row r="57">
      <c r="AH57" s="14" t="n"/>
      <c r="AM57" s="14" t="n"/>
    </row>
    <row r="58">
      <c r="AH58" s="14" t="n"/>
      <c r="AM58" s="14" t="n"/>
    </row>
    <row r="59">
      <c r="AM59" s="14" t="n"/>
    </row>
    <row r="60">
      <c r="AM60" s="14" t="n"/>
    </row>
    <row r="61">
      <c r="AM61" s="14" t="n"/>
    </row>
    <row r="62">
      <c r="AM62" s="14" t="n"/>
    </row>
  </sheetData>
  <mergeCells count="17">
    <mergeCell ref="AJ31:AN31"/>
    <mergeCell ref="B2:C2"/>
    <mergeCell ref="C46:D46"/>
    <mergeCell ref="C47:D47"/>
    <mergeCell ref="C54:D54"/>
    <mergeCell ref="B4:C4"/>
    <mergeCell ref="C51:D51"/>
    <mergeCell ref="B19:C19"/>
    <mergeCell ref="AE30:AL30"/>
    <mergeCell ref="C50:D50"/>
    <mergeCell ref="C45:D45"/>
    <mergeCell ref="AE29:AH29"/>
    <mergeCell ref="C52:D52"/>
    <mergeCell ref="C53:D53"/>
    <mergeCell ref="C48:D48"/>
    <mergeCell ref="AE31:AI31"/>
    <mergeCell ref="C49:D49"/>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P71"/>
  <sheetViews>
    <sheetView workbookViewId="0">
      <selection activeCell="A1" sqref="A1"/>
    </sheetView>
  </sheetViews>
  <sheetFormatPr baseColWidth="8" defaultRowHeight="15"/>
  <cols>
    <col width="8.83203125" customWidth="1" min="1" max="1"/>
    <col width="45.5" customWidth="1" min="2" max="2"/>
    <col width="29.5" customWidth="1" min="3" max="3"/>
    <col width="11.6640625" customWidth="1" min="4" max="4"/>
    <col width="4.6640625" customWidth="1" min="5" max="5"/>
    <col width="5.5" customWidth="1" min="19" max="19"/>
    <col width="4.6640625" customWidth="1" min="20" max="20"/>
    <col width="5.5" customWidth="1" min="21" max="21"/>
    <col width="4.6640625" customWidth="1" min="22" max="22"/>
    <col width="6.6640625" customWidth="1" min="28" max="28"/>
    <col width="6.83203125" customWidth="1" min="29" max="29"/>
    <col width="4.6640625" customWidth="1" min="30" max="30"/>
    <col width="8.83203125" customWidth="1" min="31" max="31"/>
    <col width="3.5" customWidth="1" min="41" max="41"/>
    <col width="8.83203125" customWidth="1" min="42" max="42"/>
  </cols>
  <sheetData>
    <row r="1">
      <c r="B1" s="117" t="inlineStr">
        <is>
          <t>Project Title</t>
        </is>
      </c>
    </row>
    <row r="2" ht="17" customHeight="1">
      <c r="A2" s="118" t="inlineStr">
        <is>
          <t>A</t>
        </is>
      </c>
      <c r="B2" s="119" t="inlineStr">
        <is>
          <t xml:space="preserve">Robotic Vehicle </t>
        </is>
      </c>
      <c r="AP2" s="117" t="n"/>
    </row>
    <row r="3" ht="17" customHeight="1">
      <c r="B3" s="117" t="inlineStr">
        <is>
          <t>Developed by</t>
        </is>
      </c>
      <c r="D3" s="120" t="n">
        <v>1</v>
      </c>
      <c r="E3" s="121">
        <f>E31</f>
        <v/>
      </c>
      <c r="F3" s="122">
        <f>E30</f>
        <v/>
      </c>
      <c r="AO3" s="123" t="n"/>
    </row>
    <row r="4" ht="17" customHeight="1">
      <c r="B4" s="119" t="inlineStr">
        <is>
          <t>The Cornell Cup Team, advisor: Dr. David R. Schneider, drs44@cornell.edu</t>
        </is>
      </c>
      <c r="D4" s="120">
        <f>D3+1</f>
        <v/>
      </c>
      <c r="E4" s="124" t="n">
        <v>1</v>
      </c>
      <c r="F4" s="125">
        <f>F31</f>
        <v/>
      </c>
      <c r="G4" s="122">
        <f>F30</f>
        <v/>
      </c>
      <c r="AO4" s="123" t="n"/>
    </row>
    <row r="5" ht="17" customHeight="1">
      <c r="B5" s="117" t="inlineStr">
        <is>
          <t>Last Updated</t>
        </is>
      </c>
      <c r="D5" s="120">
        <f>D4+1</f>
        <v/>
      </c>
      <c r="E5" s="124" t="n"/>
      <c r="F5" s="126" t="n"/>
      <c r="G5" s="125">
        <f>G31</f>
        <v/>
      </c>
      <c r="H5" s="122">
        <f>G30</f>
        <v/>
      </c>
      <c r="AO5" s="123" t="n"/>
    </row>
    <row r="6" ht="17" customHeight="1">
      <c r="B6" s="127" t="n">
        <v>42587</v>
      </c>
      <c r="D6" s="120">
        <f>D5+1</f>
        <v/>
      </c>
      <c r="E6" s="124" t="n"/>
      <c r="F6" s="128" t="n"/>
      <c r="G6" s="126" t="n">
        <v>1</v>
      </c>
      <c r="H6" s="125">
        <f>H31</f>
        <v/>
      </c>
      <c r="I6" s="122">
        <f>H30</f>
        <v/>
      </c>
      <c r="AO6" s="123" t="n"/>
    </row>
    <row r="7" ht="17" customHeight="1">
      <c r="B7" s="117" t="n"/>
      <c r="D7" s="120">
        <f>D6+1</f>
        <v/>
      </c>
      <c r="E7" s="124" t="n"/>
      <c r="F7" s="129" t="n"/>
      <c r="G7" s="128" t="n"/>
      <c r="H7" s="126" t="n">
        <v>1</v>
      </c>
      <c r="I7" s="125">
        <f>I31</f>
        <v/>
      </c>
      <c r="J7" s="122">
        <f>I30</f>
        <v/>
      </c>
      <c r="AO7" s="123" t="n"/>
    </row>
    <row r="8" ht="17" customHeight="1">
      <c r="B8" s="117" t="n"/>
      <c r="D8" s="120">
        <f>D7+1</f>
        <v/>
      </c>
      <c r="E8" s="124" t="n"/>
      <c r="F8" s="129" t="n"/>
      <c r="G8" s="129" t="n"/>
      <c r="H8" s="128" t="n">
        <v>1</v>
      </c>
      <c r="I8" s="126" t="n"/>
      <c r="J8" s="130">
        <f>J31</f>
        <v/>
      </c>
      <c r="K8" s="122">
        <f>J30</f>
        <v/>
      </c>
      <c r="AO8" s="123" t="n"/>
    </row>
    <row r="9" ht="17" customHeight="1">
      <c r="B9" s="117" t="n"/>
      <c r="D9" s="120">
        <f>D8+1</f>
        <v/>
      </c>
      <c r="E9" s="124" t="n"/>
      <c r="F9" s="129" t="n"/>
      <c r="G9" s="129" t="n"/>
      <c r="H9" s="128" t="n">
        <v>1</v>
      </c>
      <c r="I9" s="126" t="n"/>
      <c r="J9" s="131" t="n">
        <v>-1</v>
      </c>
      <c r="K9" s="125">
        <f>K31</f>
        <v/>
      </c>
      <c r="L9" s="122">
        <f>K30</f>
        <v/>
      </c>
      <c r="AO9" s="123" t="n"/>
    </row>
    <row r="10" ht="17" customHeight="1">
      <c r="B10" s="117" t="inlineStr">
        <is>
          <t>Relationships</t>
        </is>
      </c>
      <c r="D10" s="120">
        <f>D9+1</f>
        <v/>
      </c>
      <c r="E10" s="124" t="n">
        <v>-1</v>
      </c>
      <c r="F10" s="129" t="n"/>
      <c r="G10" s="129" t="n">
        <v>1</v>
      </c>
      <c r="H10" s="128" t="n">
        <v>1</v>
      </c>
      <c r="I10" s="126" t="n"/>
      <c r="J10" s="131" t="n"/>
      <c r="K10" s="128" t="n"/>
      <c r="L10" s="125">
        <f>L31</f>
        <v/>
      </c>
      <c r="M10" s="122">
        <f>L30</f>
        <v/>
      </c>
      <c r="AO10" s="123" t="n"/>
    </row>
    <row r="11" ht="17" customHeight="1">
      <c r="A11" s="123" t="inlineStr">
        <is>
          <t>+ +</t>
        </is>
      </c>
      <c r="B11" s="120" t="inlineStr">
        <is>
          <t>Strong Positive</t>
        </is>
      </c>
      <c r="D11" s="120">
        <f>D10+1</f>
        <v/>
      </c>
      <c r="E11" s="124" t="n">
        <v>-1</v>
      </c>
      <c r="F11" s="129" t="n"/>
      <c r="G11" s="129" t="n">
        <v>1</v>
      </c>
      <c r="H11" s="128" t="n">
        <v>1</v>
      </c>
      <c r="I11" s="126" t="n"/>
      <c r="J11" s="131" t="n"/>
      <c r="K11" s="128" t="n"/>
      <c r="L11" s="128" t="n"/>
      <c r="M11" s="125">
        <f>M31</f>
        <v/>
      </c>
      <c r="N11" s="122">
        <f>M30</f>
        <v/>
      </c>
      <c r="AO11" s="123" t="n"/>
    </row>
    <row r="12" ht="17" customHeight="1">
      <c r="A12" s="123" t="inlineStr">
        <is>
          <t>+</t>
        </is>
      </c>
      <c r="B12" s="120" t="inlineStr">
        <is>
          <t>Positive</t>
        </is>
      </c>
      <c r="D12" s="120">
        <f>D11+1</f>
        <v/>
      </c>
      <c r="E12" s="124" t="n"/>
      <c r="F12" s="129" t="n"/>
      <c r="G12" s="129" t="n">
        <v>1</v>
      </c>
      <c r="H12" s="128" t="n"/>
      <c r="I12" s="126" t="n"/>
      <c r="J12" s="132" t="n"/>
      <c r="K12" s="126" t="n"/>
      <c r="L12" s="126" t="n">
        <v>2</v>
      </c>
      <c r="M12" s="126" t="n">
        <v>2</v>
      </c>
      <c r="N12" s="130">
        <f>N31</f>
        <v/>
      </c>
      <c r="O12" s="122">
        <f>N30</f>
        <v/>
      </c>
      <c r="AO12" s="123" t="n"/>
    </row>
    <row r="13" ht="17" customHeight="1">
      <c r="A13" s="123" t="n"/>
      <c r="B13" s="120" t="inlineStr">
        <is>
          <t>Neutral, Not Applicable</t>
        </is>
      </c>
      <c r="D13" s="120">
        <f>D12+1</f>
        <v/>
      </c>
      <c r="E13" s="124" t="inlineStr">
        <is>
          <t>-1/1</t>
        </is>
      </c>
      <c r="F13" s="129" t="n">
        <v>1</v>
      </c>
      <c r="G13" s="129" t="n">
        <v>2</v>
      </c>
      <c r="H13" s="128" t="n"/>
      <c r="I13" s="126" t="n"/>
      <c r="J13" s="128" t="n"/>
      <c r="K13" s="128" t="n"/>
      <c r="L13" s="128" t="n">
        <v>1</v>
      </c>
      <c r="M13" s="128" t="n"/>
      <c r="N13" s="128" t="n">
        <v>-1</v>
      </c>
      <c r="O13" s="130">
        <f>O31</f>
        <v/>
      </c>
      <c r="P13" s="122">
        <f>O30</f>
        <v/>
      </c>
      <c r="AO13" s="123" t="n"/>
    </row>
    <row r="14" ht="17" customHeight="1">
      <c r="A14" s="123" t="inlineStr">
        <is>
          <t>x</t>
        </is>
      </c>
      <c r="B14" s="120" t="inlineStr">
        <is>
          <t>Negative</t>
        </is>
      </c>
      <c r="D14" s="120">
        <f>D13+1</f>
        <v/>
      </c>
      <c r="E14" s="124" t="inlineStr">
        <is>
          <t>-1/1</t>
        </is>
      </c>
      <c r="F14" s="129" t="n">
        <v>-1</v>
      </c>
      <c r="G14" s="129" t="n">
        <v>1</v>
      </c>
      <c r="H14" s="128" t="n"/>
      <c r="I14" s="126" t="n"/>
      <c r="J14" s="129" t="n"/>
      <c r="K14" s="129" t="n"/>
      <c r="L14" s="129" t="n"/>
      <c r="M14" s="129" t="n"/>
      <c r="N14" s="129" t="n"/>
      <c r="O14" s="131" t="n">
        <v>-1</v>
      </c>
      <c r="P14" s="125">
        <f>Q31</f>
        <v/>
      </c>
      <c r="Q14" s="122">
        <f>P30</f>
        <v/>
      </c>
      <c r="AO14" s="123" t="n"/>
    </row>
    <row r="15" ht="17" customHeight="1">
      <c r="A15" s="123" t="inlineStr">
        <is>
          <t>x x</t>
        </is>
      </c>
      <c r="B15" s="120" t="inlineStr">
        <is>
          <t>Strong Negative</t>
        </is>
      </c>
      <c r="D15" s="120">
        <f>D14+1</f>
        <v/>
      </c>
      <c r="E15" s="124" t="inlineStr">
        <is>
          <t>-2/1</t>
        </is>
      </c>
      <c r="F15" s="129" t="n">
        <v>1</v>
      </c>
      <c r="G15" s="129" t="n"/>
      <c r="H15" s="128" t="n"/>
      <c r="I15" s="126" t="n"/>
      <c r="J15" s="129" t="n"/>
      <c r="K15" s="129" t="n"/>
      <c r="L15" s="129" t="n">
        <v>2</v>
      </c>
      <c r="M15" s="129" t="n">
        <v>1</v>
      </c>
      <c r="N15" s="129" t="n"/>
      <c r="O15" s="131" t="n">
        <v>2</v>
      </c>
      <c r="P15" s="128" t="n">
        <v>1</v>
      </c>
      <c r="Q15" s="125">
        <f>Q31</f>
        <v/>
      </c>
      <c r="R15" s="122">
        <f>Q30</f>
        <v/>
      </c>
      <c r="AO15" s="123" t="n"/>
    </row>
    <row r="16" ht="17" customHeight="1">
      <c r="B16" s="117" t="n"/>
      <c r="D16" s="120">
        <f>D15+1</f>
        <v/>
      </c>
      <c r="E16" s="124" t="inlineStr">
        <is>
          <t>-2/1</t>
        </is>
      </c>
      <c r="F16" s="129" t="n"/>
      <c r="G16" s="129" t="n">
        <v>2</v>
      </c>
      <c r="H16" s="129" t="n"/>
      <c r="I16" s="128" t="n"/>
      <c r="J16" s="128" t="n"/>
      <c r="K16" s="128" t="n"/>
      <c r="L16" s="128" t="n">
        <v>1</v>
      </c>
      <c r="M16" s="128" t="inlineStr">
        <is>
          <t>1/0</t>
        </is>
      </c>
      <c r="N16" s="128" t="n">
        <v>2</v>
      </c>
      <c r="O16" s="131" t="n">
        <v>2</v>
      </c>
      <c r="P16" s="128" t="n">
        <v>2</v>
      </c>
      <c r="Q16" s="128" t="n">
        <v>2</v>
      </c>
      <c r="R16" s="125">
        <f>R31</f>
        <v/>
      </c>
      <c r="S16" s="122">
        <f>R30</f>
        <v/>
      </c>
      <c r="AO16" s="123" t="n"/>
    </row>
    <row r="17" ht="17" customHeight="1">
      <c r="B17" s="117" t="n"/>
      <c r="D17" s="120">
        <f>D16+1</f>
        <v/>
      </c>
      <c r="E17" s="124" t="n">
        <v>-1</v>
      </c>
      <c r="F17" s="129" t="n"/>
      <c r="G17" s="129" t="n"/>
      <c r="H17" s="129" t="n"/>
      <c r="I17" s="129" t="n"/>
      <c r="J17" s="129" t="n"/>
      <c r="K17" s="129" t="n"/>
      <c r="L17" s="129" t="n"/>
      <c r="M17" s="129" t="n"/>
      <c r="N17" s="129" t="n"/>
      <c r="O17" s="132" t="n"/>
      <c r="P17" s="126" t="n"/>
      <c r="Q17" s="126" t="n"/>
      <c r="R17" s="126" t="n"/>
      <c r="S17" s="130">
        <f>S31</f>
        <v/>
      </c>
      <c r="T17" s="122">
        <f>S30</f>
        <v/>
      </c>
      <c r="AO17" s="123" t="n"/>
    </row>
    <row r="18" ht="17" customHeight="1">
      <c r="B18" s="117" t="n"/>
      <c r="D18" s="120">
        <f>D17+1</f>
        <v/>
      </c>
      <c r="E18" s="124" t="n"/>
      <c r="F18" s="133" t="n"/>
      <c r="G18" s="129" t="n"/>
      <c r="H18" s="129" t="n"/>
      <c r="I18" s="129" t="n"/>
      <c r="J18" s="129" t="n"/>
      <c r="K18" s="129" t="n"/>
      <c r="L18" s="129" t="n"/>
      <c r="M18" s="129" t="n"/>
      <c r="N18" s="129" t="n"/>
      <c r="O18" s="128" t="n"/>
      <c r="P18" s="128" t="n"/>
      <c r="Q18" s="128" t="n"/>
      <c r="R18" s="128" t="n"/>
      <c r="S18" s="128" t="n">
        <v>1</v>
      </c>
      <c r="T18" s="125">
        <f>T31</f>
        <v/>
      </c>
      <c r="U18" s="122">
        <f>T30</f>
        <v/>
      </c>
      <c r="AO18" s="123" t="n"/>
    </row>
    <row r="19" ht="17" customHeight="1">
      <c r="B19" s="119" t="n"/>
      <c r="D19" s="120">
        <f>D18+1</f>
        <v/>
      </c>
      <c r="E19" s="124" t="n"/>
      <c r="F19" s="131" t="n"/>
      <c r="G19" s="134" t="n">
        <v>-2</v>
      </c>
      <c r="H19" s="129" t="n">
        <v>-1</v>
      </c>
      <c r="I19" s="129" t="n"/>
      <c r="J19" s="129" t="n"/>
      <c r="K19" s="129" t="n">
        <v>-1</v>
      </c>
      <c r="L19" s="129" t="n"/>
      <c r="M19" s="129" t="n"/>
      <c r="N19" s="129" t="n"/>
      <c r="O19" s="129" t="n"/>
      <c r="P19" s="129" t="n"/>
      <c r="Q19" s="129" t="n"/>
      <c r="R19" s="129" t="n"/>
      <c r="S19" s="129" t="n"/>
      <c r="T19" s="126" t="n"/>
      <c r="U19" s="130">
        <f>U31</f>
        <v/>
      </c>
      <c r="V19" s="122">
        <f>U30</f>
        <v/>
      </c>
    </row>
    <row r="20" ht="17" customHeight="1">
      <c r="D20" s="120">
        <f>D19+1</f>
        <v/>
      </c>
      <c r="E20" s="124" t="n"/>
      <c r="F20" s="131" t="n"/>
      <c r="G20" s="131" t="n"/>
      <c r="H20" s="131" t="n">
        <v>-1</v>
      </c>
      <c r="I20" s="129" t="n"/>
      <c r="J20" s="129" t="n"/>
      <c r="K20" s="129" t="n"/>
      <c r="L20" s="129" t="n"/>
      <c r="M20" s="129" t="n"/>
      <c r="N20" s="129" t="n"/>
      <c r="O20" s="129" t="n"/>
      <c r="P20" s="129" t="n"/>
      <c r="Q20" s="129" t="n"/>
      <c r="R20" s="129" t="n"/>
      <c r="S20" s="129" t="n"/>
      <c r="T20" s="128" t="n"/>
      <c r="U20" s="131" t="n">
        <v>1</v>
      </c>
      <c r="V20" s="125">
        <f>V31</f>
        <v/>
      </c>
      <c r="W20" s="122">
        <f>V30</f>
        <v/>
      </c>
    </row>
    <row r="21" ht="17" customHeight="1">
      <c r="D21" s="120">
        <f>D20+1</f>
        <v/>
      </c>
      <c r="E21" s="135" t="n"/>
      <c r="F21" s="132" t="n"/>
      <c r="G21" s="132" t="n"/>
      <c r="H21" s="132" t="n">
        <v>-1</v>
      </c>
      <c r="I21" s="132" t="n"/>
      <c r="J21" s="132" t="n"/>
      <c r="K21" s="132" t="n">
        <v>-1</v>
      </c>
      <c r="L21" s="132" t="n">
        <v>-1</v>
      </c>
      <c r="M21" s="132" t="n">
        <v>-1</v>
      </c>
      <c r="N21" s="132" t="n"/>
      <c r="O21" s="132" t="n">
        <v>-1</v>
      </c>
      <c r="P21" s="132" t="n"/>
      <c r="Q21" s="132" t="n"/>
      <c r="R21" s="132" t="n">
        <v>-2</v>
      </c>
      <c r="S21" s="132" t="n"/>
      <c r="T21" s="126" t="n"/>
      <c r="U21" s="126" t="n"/>
      <c r="V21" s="126" t="n"/>
      <c r="W21" s="130">
        <f>W31</f>
        <v/>
      </c>
      <c r="X21" s="122">
        <f>W30</f>
        <v/>
      </c>
    </row>
    <row r="22" ht="17" customHeight="1">
      <c r="D22" s="120">
        <f>D21+1</f>
        <v/>
      </c>
      <c r="E22" s="124" t="n"/>
      <c r="F22" s="128" t="n"/>
      <c r="G22" s="128" t="n"/>
      <c r="H22" s="128" t="n"/>
      <c r="I22" s="128" t="n"/>
      <c r="J22" s="128" t="n"/>
      <c r="K22" s="128" t="n">
        <v>-1</v>
      </c>
      <c r="L22" s="128" t="n"/>
      <c r="M22" s="128" t="n"/>
      <c r="N22" s="128" t="n"/>
      <c r="O22" s="128" t="n"/>
      <c r="P22" s="128" t="n"/>
      <c r="Q22" s="128" t="n"/>
      <c r="R22" s="128" t="n"/>
      <c r="S22" s="128" t="n"/>
      <c r="T22" s="128" t="n"/>
      <c r="U22" s="128" t="n"/>
      <c r="V22" s="128" t="n"/>
      <c r="W22" s="128" t="n"/>
      <c r="X22" s="125">
        <f>X31</f>
        <v/>
      </c>
      <c r="Y22" s="122">
        <f>X30</f>
        <v/>
      </c>
    </row>
    <row r="23" ht="17" customHeight="1">
      <c r="D23" s="120">
        <f>D22+1</f>
        <v/>
      </c>
      <c r="E23" s="136" t="n">
        <v>-1</v>
      </c>
      <c r="F23" s="129" t="n"/>
      <c r="G23" s="129" t="n"/>
      <c r="H23" s="129" t="n"/>
      <c r="I23" s="129" t="n"/>
      <c r="J23" s="129" t="n"/>
      <c r="K23" s="129" t="n"/>
      <c r="L23" s="129" t="n"/>
      <c r="M23" s="129" t="n"/>
      <c r="N23" s="129" t="n"/>
      <c r="O23" s="129" t="n"/>
      <c r="P23" s="129" t="n"/>
      <c r="Q23" s="129" t="n"/>
      <c r="R23" s="129" t="n"/>
      <c r="S23" s="129" t="n">
        <v>-1</v>
      </c>
      <c r="T23" s="129" t="n"/>
      <c r="U23" s="129" t="n"/>
      <c r="V23" s="129" t="n"/>
      <c r="W23" s="129" t="n"/>
      <c r="X23" s="126" t="n">
        <v>-1</v>
      </c>
      <c r="Y23" s="130">
        <f>Y31</f>
        <v/>
      </c>
      <c r="Z23" s="122">
        <f>Y30</f>
        <v/>
      </c>
    </row>
    <row r="24" ht="17" customHeight="1">
      <c r="D24" s="120">
        <f>D23+1</f>
        <v/>
      </c>
      <c r="E24" s="136" t="n"/>
      <c r="F24" s="129" t="n"/>
      <c r="G24" s="129" t="n"/>
      <c r="H24" s="129" t="n"/>
      <c r="I24" s="129" t="n"/>
      <c r="J24" s="129" t="n"/>
      <c r="K24" s="129" t="n"/>
      <c r="L24" s="129" t="n"/>
      <c r="M24" s="129" t="n"/>
      <c r="N24" s="129" t="n"/>
      <c r="O24" s="129" t="n"/>
      <c r="P24" s="129" t="n"/>
      <c r="Q24" s="129" t="n"/>
      <c r="R24" s="129" t="n"/>
      <c r="S24" s="129" t="n">
        <v>2</v>
      </c>
      <c r="T24" s="129" t="n"/>
      <c r="U24" s="129" t="n"/>
      <c r="V24" s="129" t="n"/>
      <c r="W24" s="129" t="n"/>
      <c r="X24" s="128" t="n"/>
      <c r="Y24" s="131" t="n">
        <v>-1</v>
      </c>
      <c r="Z24" s="125">
        <f>Z31</f>
        <v/>
      </c>
      <c r="AA24" s="122">
        <f>Z30</f>
        <v/>
      </c>
    </row>
    <row r="25" ht="17" customHeight="1">
      <c r="D25" s="120">
        <f>D24+1</f>
        <v/>
      </c>
      <c r="E25" s="136" t="n">
        <v>-1</v>
      </c>
      <c r="F25" s="129" t="n">
        <v>-1</v>
      </c>
      <c r="G25" s="129" t="n"/>
      <c r="H25" s="129" t="n"/>
      <c r="I25" s="129" t="inlineStr">
        <is>
          <t>0/1</t>
        </is>
      </c>
      <c r="J25" s="129" t="inlineStr">
        <is>
          <t>0/1</t>
        </is>
      </c>
      <c r="K25" s="129" t="inlineStr">
        <is>
          <t>0/1</t>
        </is>
      </c>
      <c r="L25" s="129" t="n"/>
      <c r="M25" s="129" t="n"/>
      <c r="N25" s="129" t="n"/>
      <c r="O25" s="129" t="n"/>
      <c r="P25" s="129" t="n"/>
      <c r="Q25" s="129" t="n"/>
      <c r="R25" s="129" t="n"/>
      <c r="S25" s="129" t="n">
        <v>1</v>
      </c>
      <c r="T25" s="129" t="n"/>
      <c r="U25" s="129" t="n"/>
      <c r="V25" s="129" t="n"/>
      <c r="W25" s="129" t="n"/>
      <c r="X25" s="128" t="n"/>
      <c r="Y25" s="131" t="n"/>
      <c r="Z25" s="128" t="inlineStr">
        <is>
          <t>-2/2</t>
        </is>
      </c>
      <c r="AA25" s="125">
        <f>AA31</f>
        <v/>
      </c>
      <c r="AB25" s="122">
        <f>AA30</f>
        <v/>
      </c>
    </row>
    <row r="26" ht="17" customHeight="1">
      <c r="D26" s="120">
        <f>D25+1</f>
        <v/>
      </c>
      <c r="E26" s="136" t="n"/>
      <c r="F26" s="129" t="n"/>
      <c r="G26" s="129" t="n"/>
      <c r="H26" s="129" t="n"/>
      <c r="I26" s="129" t="inlineStr">
        <is>
          <t>0/1</t>
        </is>
      </c>
      <c r="J26" s="129" t="inlineStr">
        <is>
          <t>0/1</t>
        </is>
      </c>
      <c r="K26" s="129" t="inlineStr">
        <is>
          <t>0/1</t>
        </is>
      </c>
      <c r="L26" s="129" t="n"/>
      <c r="M26" s="129" t="n"/>
      <c r="N26" s="129" t="n"/>
      <c r="O26" s="129" t="n"/>
      <c r="P26" s="129" t="n"/>
      <c r="Q26" s="129" t="n"/>
      <c r="R26" s="129" t="n"/>
      <c r="S26" s="129" t="n">
        <v>1</v>
      </c>
      <c r="T26" s="129" t="n"/>
      <c r="U26" s="129" t="n"/>
      <c r="V26" s="129" t="inlineStr">
        <is>
          <t>0/1</t>
        </is>
      </c>
      <c r="W26" s="129" t="n"/>
      <c r="X26" s="128" t="n"/>
      <c r="Y26" s="131" t="n"/>
      <c r="Z26" s="128" t="n">
        <v>-1</v>
      </c>
      <c r="AA26" s="128" t="n"/>
      <c r="AB26" s="125">
        <f>AB31</f>
        <v/>
      </c>
      <c r="AC26" s="122">
        <f>AB30</f>
        <v/>
      </c>
    </row>
    <row r="27" ht="17" customHeight="1">
      <c r="D27" s="120">
        <f>D26+1</f>
        <v/>
      </c>
      <c r="E27" s="136" t="n"/>
      <c r="F27" s="129" t="n"/>
      <c r="G27" s="129" t="n"/>
      <c r="H27" s="129" t="n"/>
      <c r="I27" s="129" t="inlineStr">
        <is>
          <t>-1/1</t>
        </is>
      </c>
      <c r="J27" s="129" t="inlineStr">
        <is>
          <t>-1/1</t>
        </is>
      </c>
      <c r="K27" s="129" t="inlineStr">
        <is>
          <t>-1/1</t>
        </is>
      </c>
      <c r="L27" s="129" t="n"/>
      <c r="M27" s="129" t="n"/>
      <c r="N27" s="129" t="n"/>
      <c r="O27" s="129" t="n"/>
      <c r="P27" s="129" t="n"/>
      <c r="Q27" s="129" t="n"/>
      <c r="R27" s="129" t="n"/>
      <c r="S27" s="129" t="n">
        <v>1</v>
      </c>
      <c r="T27" s="129" t="n"/>
      <c r="U27" s="129" t="n">
        <v>1</v>
      </c>
      <c r="V27" s="129" t="n"/>
      <c r="W27" s="129" t="n"/>
      <c r="X27" s="128" t="n"/>
      <c r="Y27" s="131" t="n"/>
      <c r="Z27" s="128" t="n"/>
      <c r="AA27" s="128" t="n"/>
      <c r="AB27" s="128" t="n">
        <v>1</v>
      </c>
      <c r="AC27" s="125">
        <f>AC31</f>
        <v/>
      </c>
      <c r="AD27" s="122">
        <f>AC30</f>
        <v/>
      </c>
    </row>
    <row r="28" ht="15" customHeight="1">
      <c r="D28" s="120">
        <f>D27+1</f>
        <v/>
      </c>
      <c r="E28" s="136" t="inlineStr">
        <is>
          <t>-1/1</t>
        </is>
      </c>
      <c r="F28" s="129" t="n">
        <v>-1</v>
      </c>
      <c r="G28" s="129" t="n">
        <v>-1</v>
      </c>
      <c r="H28" s="129" t="n"/>
      <c r="I28" s="129" t="n"/>
      <c r="J28" s="129" t="n"/>
      <c r="K28" s="129" t="n">
        <v>-1</v>
      </c>
      <c r="L28" s="129" t="n"/>
      <c r="M28" s="129" t="n"/>
      <c r="N28" s="129" t="n"/>
      <c r="O28" s="129" t="n"/>
      <c r="P28" s="129" t="n"/>
      <c r="Q28" s="129" t="n"/>
      <c r="R28" s="129" t="n"/>
      <c r="S28" s="129" t="n"/>
      <c r="T28" s="129" t="n"/>
      <c r="U28" s="129" t="n"/>
      <c r="V28" s="129" t="n"/>
      <c r="W28" s="129" t="n"/>
      <c r="X28" s="128" t="n"/>
      <c r="Y28" s="134" t="n"/>
      <c r="Z28" s="137" t="n"/>
      <c r="AA28" s="137" t="n">
        <v>2</v>
      </c>
      <c r="AB28" s="137" t="n">
        <v>1</v>
      </c>
      <c r="AC28" s="128" t="n">
        <v>-1</v>
      </c>
      <c r="AD28" s="138">
        <f>AD31</f>
        <v/>
      </c>
      <c r="AE28" s="120">
        <f>AD30</f>
        <v/>
      </c>
    </row>
    <row r="29" ht="15" customHeight="1">
      <c r="D29" s="139" t="inlineStr">
        <is>
          <t>ID</t>
        </is>
      </c>
      <c r="E29" s="136" t="n">
        <v>1</v>
      </c>
      <c r="F29" s="131">
        <f>E29+1</f>
        <v/>
      </c>
      <c r="G29" s="131">
        <f>F29+1</f>
        <v/>
      </c>
      <c r="H29" s="131">
        <f>G29+1</f>
        <v/>
      </c>
      <c r="I29" s="131">
        <f>H29+1</f>
        <v/>
      </c>
      <c r="J29" s="131">
        <f>I29+1</f>
        <v/>
      </c>
      <c r="K29" s="131">
        <f>J29+1</f>
        <v/>
      </c>
      <c r="L29" s="131">
        <f>K29+1</f>
        <v/>
      </c>
      <c r="M29" s="131">
        <f>L29+1</f>
        <v/>
      </c>
      <c r="N29" s="131">
        <f>M29+1</f>
        <v/>
      </c>
      <c r="O29" s="131">
        <f>N29+1</f>
        <v/>
      </c>
      <c r="P29" s="131">
        <f>O29+1</f>
        <v/>
      </c>
      <c r="Q29" s="131">
        <f>P29+1</f>
        <v/>
      </c>
      <c r="R29" s="131">
        <f>Q29+1</f>
        <v/>
      </c>
      <c r="S29" s="131">
        <f>R29+1</f>
        <v/>
      </c>
      <c r="T29" s="131">
        <f>S29+1</f>
        <v/>
      </c>
      <c r="U29" s="131">
        <f>T29+1</f>
        <v/>
      </c>
      <c r="V29" s="131">
        <f>U29+1</f>
        <v/>
      </c>
      <c r="W29" s="131">
        <f>V29+1</f>
        <v/>
      </c>
      <c r="X29" s="131">
        <f>W29+1</f>
        <v/>
      </c>
      <c r="Y29" s="131">
        <f>X29+1</f>
        <v/>
      </c>
      <c r="Z29" s="131">
        <f>Y29+1</f>
        <v/>
      </c>
      <c r="AA29" s="131">
        <f>Z29+1</f>
        <v/>
      </c>
      <c r="AB29" s="131">
        <f>AA29+1</f>
        <v/>
      </c>
      <c r="AC29" s="128">
        <f>AB29+1</f>
        <v/>
      </c>
      <c r="AD29" s="140">
        <f>AC29+1</f>
        <v/>
      </c>
      <c r="AE29" s="117" t="inlineStr">
        <is>
          <t>Engineering Characteristics</t>
        </is>
      </c>
      <c r="AF29" s="117" t="n"/>
      <c r="AG29" s="117" t="n"/>
    </row>
    <row r="30" ht="191.25" customHeight="1">
      <c r="D30" s="141" t="inlineStr">
        <is>
          <t>Relative Importance</t>
        </is>
      </c>
      <c r="E30" s="142" t="inlineStr">
        <is>
          <t>Maximum Speed</t>
        </is>
      </c>
      <c r="F30" s="143" t="inlineStr">
        <is>
          <t>Maximum Acceleration</t>
        </is>
      </c>
      <c r="G30" s="143" t="inlineStr">
        <is>
          <t>CPU</t>
        </is>
      </c>
      <c r="H30" s="143" t="inlineStr">
        <is>
          <t># Microcontrollers</t>
        </is>
      </c>
      <c r="I30" s="143" t="inlineStr">
        <is>
          <t>Number of Sensor Ports Type A</t>
        </is>
      </c>
      <c r="J30" s="143" t="inlineStr">
        <is>
          <t>Number of Sensor Ports Type B</t>
        </is>
      </c>
      <c r="K30" s="143" t="inlineStr">
        <is>
          <t>Number of Sensor Ports Type C</t>
        </is>
      </c>
      <c r="L30" s="143" t="inlineStr">
        <is>
          <t>Navigation Sensors Quality</t>
        </is>
      </c>
      <c r="M30" s="143" t="inlineStr">
        <is>
          <t>Sensor Filter Quality</t>
        </is>
      </c>
      <c r="N30" s="143" t="inlineStr">
        <is>
          <t>Area Map Precision</t>
        </is>
      </c>
      <c r="O30" s="143" t="inlineStr">
        <is>
          <t>Path Planning Quality</t>
        </is>
      </c>
      <c r="P30" s="143" t="inlineStr">
        <is>
          <t>Path Planning Frequency</t>
        </is>
      </c>
      <c r="Q30" s="143" t="inlineStr">
        <is>
          <t>Controls / Path Following Accuracy</t>
        </is>
      </c>
      <c r="R30" s="143" t="inlineStr">
        <is>
          <t>Controls Quality</t>
        </is>
      </c>
      <c r="S30" s="143" t="inlineStr">
        <is>
          <t>Structural Material &amp; Parts Costs</t>
        </is>
      </c>
      <c r="T30" s="143" t="inlineStr">
        <is>
          <t>Structural Repair Costs</t>
        </is>
      </c>
      <c r="U30" s="143" t="inlineStr">
        <is>
          <t>Electrical Parts Costs</t>
        </is>
      </c>
      <c r="V30" s="143" t="inlineStr">
        <is>
          <t>Electrical Repair  Costs</t>
        </is>
      </c>
      <c r="W30" s="143" t="inlineStr">
        <is>
          <t>Initialization &amp; Calibration Time</t>
        </is>
      </c>
      <c r="X30" s="144" t="inlineStr">
        <is>
          <t>Assembly Time</t>
        </is>
      </c>
      <c r="Y30" s="145" t="inlineStr">
        <is>
          <t>Manufacture Time</t>
        </is>
      </c>
      <c r="Z30" s="144" t="inlineStr">
        <is>
          <t>Frame Strength</t>
        </is>
      </c>
      <c r="AA30" s="144" t="inlineStr">
        <is>
          <t>Max Payload Weight</t>
        </is>
      </c>
      <c r="AB30" s="144" t="inlineStr">
        <is>
          <t>Max Payload Size</t>
        </is>
      </c>
      <c r="AC30" s="144" t="inlineStr">
        <is>
          <t>Sensor Bay Size</t>
        </is>
      </c>
      <c r="AD30" s="146" t="inlineStr">
        <is>
          <t>Battery Capacity</t>
        </is>
      </c>
      <c r="AE30" s="147" t="inlineStr">
        <is>
          <t>Customer Perception / Performance Scores</t>
        </is>
      </c>
      <c r="AF30" s="43" t="n"/>
      <c r="AG30" s="43" t="n"/>
      <c r="AH30" s="43" t="n"/>
      <c r="AI30" s="43" t="n"/>
      <c r="AJ30" s="43" t="n"/>
      <c r="AK30" s="43" t="n"/>
      <c r="AL30" s="43" t="n"/>
      <c r="AM30" s="43" t="n"/>
      <c r="AN30" s="43" t="n"/>
    </row>
    <row r="31" ht="15.75" customHeight="1">
      <c r="B31" s="117" t="inlineStr">
        <is>
          <t>Performance Measures / Customer Attributes</t>
        </is>
      </c>
      <c r="C31" s="139" t="inlineStr">
        <is>
          <t>Direction of Change</t>
        </is>
      </c>
      <c r="D31" s="148" t="n"/>
      <c r="E31" s="149" t="inlineStr">
        <is>
          <t>↑</t>
        </is>
      </c>
      <c r="F31" s="150" t="inlineStr">
        <is>
          <t>↑</t>
        </is>
      </c>
      <c r="G31" s="150" t="inlineStr">
        <is>
          <t>↑</t>
        </is>
      </c>
      <c r="H31" s="150" t="inlineStr">
        <is>
          <t>↑</t>
        </is>
      </c>
      <c r="I31" s="150" t="inlineStr">
        <is>
          <t>↑</t>
        </is>
      </c>
      <c r="J31" s="150" t="inlineStr">
        <is>
          <t>↑</t>
        </is>
      </c>
      <c r="K31" s="150" t="inlineStr">
        <is>
          <t>↑</t>
        </is>
      </c>
      <c r="L31" s="150" t="inlineStr">
        <is>
          <t>↑</t>
        </is>
      </c>
      <c r="M31" s="150" t="inlineStr">
        <is>
          <t>↑</t>
        </is>
      </c>
      <c r="N31" s="150" t="inlineStr">
        <is>
          <t>↑</t>
        </is>
      </c>
      <c r="O31" s="150" t="inlineStr">
        <is>
          <t>↑</t>
        </is>
      </c>
      <c r="P31" s="150" t="inlineStr">
        <is>
          <t>↑</t>
        </is>
      </c>
      <c r="Q31" s="150" t="inlineStr">
        <is>
          <t>↑</t>
        </is>
      </c>
      <c r="R31" s="150" t="inlineStr">
        <is>
          <t>↑</t>
        </is>
      </c>
      <c r="S31" s="151" t="inlineStr">
        <is>
          <t>↓</t>
        </is>
      </c>
      <c r="T31" s="151" t="inlineStr">
        <is>
          <t>↓</t>
        </is>
      </c>
      <c r="U31" s="151" t="inlineStr">
        <is>
          <t>↓</t>
        </is>
      </c>
      <c r="V31" s="151" t="inlineStr">
        <is>
          <t>↓</t>
        </is>
      </c>
      <c r="W31" s="151" t="inlineStr">
        <is>
          <t>↓</t>
        </is>
      </c>
      <c r="X31" s="151" t="inlineStr">
        <is>
          <t>↓</t>
        </is>
      </c>
      <c r="Y31" s="151" t="inlineStr">
        <is>
          <t>↓</t>
        </is>
      </c>
      <c r="Z31" s="150" t="inlineStr">
        <is>
          <t>↑</t>
        </is>
      </c>
      <c r="AA31" s="150" t="inlineStr">
        <is>
          <t>↑</t>
        </is>
      </c>
      <c r="AB31" s="150" t="inlineStr">
        <is>
          <t>↑</t>
        </is>
      </c>
      <c r="AC31" s="150" t="inlineStr">
        <is>
          <t>↑</t>
        </is>
      </c>
      <c r="AD31" s="152" t="inlineStr">
        <is>
          <t>↑</t>
        </is>
      </c>
      <c r="AE31" s="153" t="inlineStr">
        <is>
          <t>Normalized &amp; Unweighted</t>
        </is>
      </c>
      <c r="AF31" s="34" t="n"/>
      <c r="AG31" s="34" t="n"/>
      <c r="AH31" s="34" t="n"/>
      <c r="AI31" s="35" t="n"/>
      <c r="AJ31" s="153" t="inlineStr">
        <is>
          <t>Normalized &amp; Weighted</t>
        </is>
      </c>
      <c r="AK31" s="34" t="n"/>
      <c r="AL31" s="34" t="n"/>
      <c r="AM31" s="34" t="n"/>
      <c r="AN31" s="35" t="n"/>
    </row>
    <row r="32" ht="17" customHeight="1">
      <c r="A32" s="139" t="inlineStr">
        <is>
          <t>ID</t>
        </is>
      </c>
      <c r="B32" s="154" t="inlineStr">
        <is>
          <t>Full Attribute/Goal/Add'l Info</t>
        </is>
      </c>
      <c r="C32" s="154" t="inlineStr">
        <is>
          <t>Short Name</t>
        </is>
      </c>
      <c r="D32" s="155">
        <f>SUM(D33:D44)</f>
        <v/>
      </c>
      <c r="E32" s="156" t="n"/>
      <c r="F32" s="157" t="n"/>
      <c r="G32" s="157" t="n"/>
      <c r="H32" s="157" t="n"/>
      <c r="I32" s="157" t="n"/>
      <c r="J32" s="157" t="n"/>
      <c r="K32" s="157" t="n"/>
      <c r="L32" s="157" t="n"/>
      <c r="M32" s="157" t="n"/>
      <c r="N32" s="157" t="n"/>
      <c r="O32" s="157" t="n"/>
      <c r="P32" s="157" t="n"/>
      <c r="Q32" s="157" t="n"/>
      <c r="R32" s="157" t="n"/>
      <c r="S32" s="157" t="n"/>
      <c r="T32" s="157" t="n"/>
      <c r="U32" s="157" t="n"/>
      <c r="V32" s="157" t="n"/>
      <c r="W32" s="157" t="n"/>
      <c r="X32" s="157" t="n"/>
      <c r="Y32" s="157" t="n"/>
      <c r="Z32" s="157" t="n"/>
      <c r="AA32" s="157" t="n"/>
      <c r="AB32" s="157" t="n"/>
      <c r="AC32" s="157" t="n"/>
      <c r="AD32" s="158" t="n"/>
      <c r="AE32" s="159" t="inlineStr">
        <is>
          <t>A(low)</t>
        </is>
      </c>
      <c r="AF32" s="160" t="inlineStr">
        <is>
          <t>A(high)</t>
        </is>
      </c>
      <c r="AG32" s="160" t="inlineStr">
        <is>
          <t>A(target)</t>
        </is>
      </c>
      <c r="AH32" s="161" t="inlineStr">
        <is>
          <t>B</t>
        </is>
      </c>
      <c r="AI32" s="161" t="inlineStr">
        <is>
          <t>C</t>
        </is>
      </c>
      <c r="AJ32" s="159" t="inlineStr">
        <is>
          <t>A(low)</t>
        </is>
      </c>
      <c r="AK32" s="160" t="inlineStr">
        <is>
          <t>A(high)</t>
        </is>
      </c>
      <c r="AL32" s="162" t="inlineStr">
        <is>
          <t>A(target)</t>
        </is>
      </c>
      <c r="AM32" s="163" t="inlineStr">
        <is>
          <t>B</t>
        </is>
      </c>
      <c r="AN32" s="164" t="inlineStr">
        <is>
          <t>C</t>
        </is>
      </c>
      <c r="AP32" s="155" t="n"/>
    </row>
    <row r="33">
      <c r="A33" s="120" t="n">
        <v>1</v>
      </c>
      <c r="B33" s="165" t="n"/>
      <c r="C33" s="166" t="inlineStr">
        <is>
          <t>Time to accomplish tasks</t>
        </is>
      </c>
      <c r="D33" s="167" t="n">
        <v>13.51351351351351</v>
      </c>
      <c r="E33" s="168" t="n">
        <v>2</v>
      </c>
      <c r="F33" s="169" t="n">
        <v>1</v>
      </c>
      <c r="G33" s="169" t="n">
        <v>1</v>
      </c>
      <c r="H33" s="169" t="n">
        <v>1</v>
      </c>
      <c r="I33" s="169" t="n"/>
      <c r="J33" s="169" t="n"/>
      <c r="K33" s="169" t="n"/>
      <c r="L33" s="169" t="n">
        <v>1</v>
      </c>
      <c r="M33" s="169" t="n">
        <v>-1</v>
      </c>
      <c r="N33" s="169" t="n">
        <v>1</v>
      </c>
      <c r="O33" s="169" t="n">
        <v>1</v>
      </c>
      <c r="P33" s="169" t="n"/>
      <c r="Q33" s="169" t="n">
        <v>1</v>
      </c>
      <c r="R33" s="169" t="n">
        <v>1</v>
      </c>
      <c r="S33" s="169" t="n"/>
      <c r="T33" s="169" t="n"/>
      <c r="U33" s="169" t="n"/>
      <c r="V33" s="169" t="n"/>
      <c r="W33" s="169" t="n"/>
      <c r="X33" s="169" t="n"/>
      <c r="Y33" s="169" t="n"/>
      <c r="Z33" s="169" t="n"/>
      <c r="AA33" s="169" t="n"/>
      <c r="AB33" s="169" t="n"/>
      <c r="AC33" s="169" t="n"/>
      <c r="AD33" s="170" t="n"/>
      <c r="AE33" s="171" t="n">
        <v>2</v>
      </c>
      <c r="AF33" s="172" t="n">
        <v>5</v>
      </c>
      <c r="AG33" s="172" t="n">
        <v>3</v>
      </c>
      <c r="AH33" s="172" t="n">
        <v>5</v>
      </c>
      <c r="AI33" s="173" t="n">
        <v>2</v>
      </c>
      <c r="AJ33" s="174">
        <f>AE33*$D33</f>
        <v/>
      </c>
      <c r="AK33" s="175">
        <f>AF33*$D33</f>
        <v/>
      </c>
      <c r="AL33" s="175">
        <f>AG33*$D33</f>
        <v/>
      </c>
      <c r="AM33" s="175">
        <f>AH33*$D33</f>
        <v/>
      </c>
      <c r="AN33" s="176">
        <f>AI33*$D33</f>
        <v/>
      </c>
    </row>
    <row r="34">
      <c r="A34" s="120">
        <f>A33+1</f>
        <v/>
      </c>
      <c r="B34" s="177" t="inlineStr">
        <is>
          <t>Accuracy, time, opt route plan, uncertainty handle</t>
        </is>
      </c>
      <c r="C34" s="178" t="inlineStr">
        <is>
          <t>Navigation</t>
        </is>
      </c>
      <c r="D34" s="179" t="n">
        <v>10.81081081081081</v>
      </c>
      <c r="E34" s="180" t="n">
        <v>-1</v>
      </c>
      <c r="F34" s="181" t="n">
        <v>1</v>
      </c>
      <c r="G34" s="181" t="n">
        <v>1</v>
      </c>
      <c r="H34" s="181" t="n"/>
      <c r="I34" s="181" t="n"/>
      <c r="J34" s="181" t="n"/>
      <c r="K34" s="181" t="n">
        <v>1</v>
      </c>
      <c r="L34" s="181" t="n">
        <v>2</v>
      </c>
      <c r="M34" s="181" t="n"/>
      <c r="N34" s="181" t="n">
        <v>2</v>
      </c>
      <c r="O34" s="181" t="n">
        <v>2</v>
      </c>
      <c r="P34" s="181" t="n">
        <v>1</v>
      </c>
      <c r="Q34" s="181" t="n">
        <v>2</v>
      </c>
      <c r="R34" s="181" t="n">
        <v>1</v>
      </c>
      <c r="S34" s="181" t="n"/>
      <c r="T34" s="181" t="n"/>
      <c r="U34" s="181" t="n"/>
      <c r="V34" s="181" t="n"/>
      <c r="W34" s="181" t="n"/>
      <c r="X34" s="181" t="n"/>
      <c r="Y34" s="181" t="n"/>
      <c r="Z34" s="181" t="n"/>
      <c r="AA34" s="181" t="n"/>
      <c r="AB34" s="181" t="n">
        <v>-1</v>
      </c>
      <c r="AC34" s="181" t="n">
        <v>1</v>
      </c>
      <c r="AD34" s="182" t="n"/>
      <c r="AE34" s="183" t="n">
        <v>2</v>
      </c>
      <c r="AF34" s="184" t="n">
        <v>4</v>
      </c>
      <c r="AG34" s="184" t="n">
        <v>4</v>
      </c>
      <c r="AH34" s="184" t="n">
        <v>4</v>
      </c>
      <c r="AI34" s="185" t="n">
        <v>4</v>
      </c>
      <c r="AJ34" s="186">
        <f>AE34*$D34</f>
        <v/>
      </c>
      <c r="AK34" s="187">
        <f>AF34*$D34</f>
        <v/>
      </c>
      <c r="AL34" s="187">
        <f>AG34*$D34</f>
        <v/>
      </c>
      <c r="AM34" s="187">
        <f>AH34*$D34</f>
        <v/>
      </c>
      <c r="AN34" s="188">
        <f>AI34*$D34</f>
        <v/>
      </c>
    </row>
    <row r="35">
      <c r="A35" s="120">
        <f>A34+1</f>
        <v/>
      </c>
      <c r="B35" s="189" t="n"/>
      <c r="C35" s="190" t="inlineStr">
        <is>
          <t>Structural integrity</t>
        </is>
      </c>
      <c r="D35" s="179" t="n">
        <v>8.108108108108109</v>
      </c>
      <c r="E35" s="180" t="n">
        <v>-1</v>
      </c>
      <c r="F35" s="181" t="n"/>
      <c r="G35" s="181" t="n"/>
      <c r="H35" s="181" t="n"/>
      <c r="I35" s="181" t="n"/>
      <c r="J35" s="181" t="n"/>
      <c r="K35" s="181" t="n"/>
      <c r="L35" s="181" t="n"/>
      <c r="M35" s="181" t="n"/>
      <c r="N35" s="181" t="n"/>
      <c r="O35" s="181" t="n"/>
      <c r="P35" s="181" t="n"/>
      <c r="Q35" s="181" t="n"/>
      <c r="R35" s="181" t="n"/>
      <c r="S35" s="181" t="n">
        <v>-2</v>
      </c>
      <c r="T35" s="181" t="n"/>
      <c r="U35" s="181" t="n"/>
      <c r="V35" s="181" t="n"/>
      <c r="W35" s="181" t="n"/>
      <c r="X35" s="181" t="n"/>
      <c r="Y35" s="181" t="n"/>
      <c r="Z35" s="181" t="n">
        <v>2</v>
      </c>
      <c r="AA35" s="181" t="n">
        <v>-1</v>
      </c>
      <c r="AB35" s="181" t="n"/>
      <c r="AC35" s="181" t="n"/>
      <c r="AD35" s="182" t="n"/>
      <c r="AE35" s="183" t="n">
        <v>3</v>
      </c>
      <c r="AF35" s="184" t="n">
        <v>5</v>
      </c>
      <c r="AG35" s="184" t="n">
        <v>5</v>
      </c>
      <c r="AH35" s="184" t="n">
        <v>3</v>
      </c>
      <c r="AI35" s="185" t="n">
        <v>5</v>
      </c>
      <c r="AJ35" s="186">
        <f>AE35*$D35</f>
        <v/>
      </c>
      <c r="AK35" s="187">
        <f>AF35*$D35</f>
        <v/>
      </c>
      <c r="AL35" s="187">
        <f>AG35*$D35</f>
        <v/>
      </c>
      <c r="AM35" s="187">
        <f>AH35*$D35</f>
        <v/>
      </c>
      <c r="AN35" s="188">
        <f>AI35*$D35</f>
        <v/>
      </c>
    </row>
    <row r="36">
      <c r="A36" s="120">
        <f>A35+1</f>
        <v/>
      </c>
      <c r="B36" s="189" t="inlineStr">
        <is>
          <t>How long can it run between battery charges</t>
        </is>
      </c>
      <c r="C36" s="190" t="inlineStr">
        <is>
          <t>Runtime</t>
        </is>
      </c>
      <c r="D36" s="179" t="n">
        <v>5.405405405405405</v>
      </c>
      <c r="E36" s="180" t="n">
        <v>-1</v>
      </c>
      <c r="F36" s="181" t="n">
        <v>-1</v>
      </c>
      <c r="G36" s="181" t="n"/>
      <c r="H36" s="181" t="n">
        <v>-1</v>
      </c>
      <c r="I36" s="181" t="n"/>
      <c r="J36" s="181" t="n"/>
      <c r="K36" s="181" t="n"/>
      <c r="L36" s="181" t="n"/>
      <c r="M36" s="181" t="n"/>
      <c r="N36" s="181" t="n"/>
      <c r="O36" s="181" t="n"/>
      <c r="P36" s="181" t="n"/>
      <c r="Q36" s="181" t="n"/>
      <c r="R36" s="181" t="n"/>
      <c r="S36" s="181" t="n"/>
      <c r="T36" s="181" t="n"/>
      <c r="U36" s="181" t="n"/>
      <c r="V36" s="181" t="n"/>
      <c r="W36" s="181" t="n">
        <v>1</v>
      </c>
      <c r="X36" s="181" t="n"/>
      <c r="Y36" s="181" t="n"/>
      <c r="Z36" s="181" t="n"/>
      <c r="AA36" s="181" t="n"/>
      <c r="AB36" s="181" t="n"/>
      <c r="AC36" s="181" t="n"/>
      <c r="AD36" s="182" t="n">
        <v>1</v>
      </c>
      <c r="AE36" s="183" t="n">
        <v>1</v>
      </c>
      <c r="AF36" s="184" t="n">
        <v>3</v>
      </c>
      <c r="AG36" s="184" t="n">
        <v>3</v>
      </c>
      <c r="AH36" s="184" t="n">
        <v>2</v>
      </c>
      <c r="AI36" s="185" t="n">
        <v>3</v>
      </c>
      <c r="AJ36" s="186">
        <f>AE36*$D36</f>
        <v/>
      </c>
      <c r="AK36" s="187">
        <f>AF36*$D36</f>
        <v/>
      </c>
      <c r="AL36" s="187">
        <f>AG36*$D36</f>
        <v/>
      </c>
      <c r="AM36" s="187">
        <f>AH36*$D36</f>
        <v/>
      </c>
      <c r="AN36" s="188">
        <f>AI36*$D36</f>
        <v/>
      </c>
    </row>
    <row r="37">
      <c r="A37" s="120">
        <f>A36+1</f>
        <v/>
      </c>
      <c r="B37" s="189" t="inlineStr">
        <is>
          <t>Ability to get good, useful data readings</t>
        </is>
      </c>
      <c r="C37" s="190" t="inlineStr">
        <is>
          <t>Measurement accuracy</t>
        </is>
      </c>
      <c r="D37" s="179" t="n">
        <v>13.51351351351351</v>
      </c>
      <c r="E37" s="180" t="n"/>
      <c r="F37" s="181" t="n"/>
      <c r="G37" s="181" t="n">
        <v>2</v>
      </c>
      <c r="H37" s="181" t="n"/>
      <c r="I37" s="181" t="n">
        <v>2</v>
      </c>
      <c r="J37" s="181" t="n">
        <v>1</v>
      </c>
      <c r="K37" s="181" t="n">
        <v>1</v>
      </c>
      <c r="L37" s="181" t="n"/>
      <c r="M37" s="181" t="n">
        <v>2</v>
      </c>
      <c r="N37" s="181" t="n"/>
      <c r="O37" s="181" t="n"/>
      <c r="P37" s="181" t="n"/>
      <c r="Q37" s="181" t="n"/>
      <c r="R37" s="181" t="n">
        <v>1</v>
      </c>
      <c r="S37" s="181" t="n"/>
      <c r="T37" s="181" t="n"/>
      <c r="U37" s="181" t="n"/>
      <c r="V37" s="181" t="n"/>
      <c r="W37" s="181" t="n"/>
      <c r="X37" s="181" t="n"/>
      <c r="Y37" s="181" t="n"/>
      <c r="Z37" s="181" t="n"/>
      <c r="AA37" s="181" t="n"/>
      <c r="AB37" s="181" t="n"/>
      <c r="AC37" s="181" t="n">
        <v>1</v>
      </c>
      <c r="AD37" s="182" t="n"/>
      <c r="AE37" s="183" t="n">
        <v>2</v>
      </c>
      <c r="AF37" s="184" t="n">
        <v>5</v>
      </c>
      <c r="AG37" s="184" t="n">
        <v>5</v>
      </c>
      <c r="AH37" s="184" t="n">
        <v>3</v>
      </c>
      <c r="AI37" s="185" t="n">
        <v>5</v>
      </c>
      <c r="AJ37" s="186">
        <f>AE37*$D37</f>
        <v/>
      </c>
      <c r="AK37" s="187">
        <f>AF37*$D37</f>
        <v/>
      </c>
      <c r="AL37" s="187">
        <f>AG37*$D37</f>
        <v/>
      </c>
      <c r="AM37" s="187">
        <f>AH37*$D37</f>
        <v/>
      </c>
      <c r="AN37" s="188">
        <f>AI37*$D37</f>
        <v/>
      </c>
    </row>
    <row r="38">
      <c r="A38" s="120">
        <f>A37+1</f>
        <v/>
      </c>
      <c r="B38" s="189" t="inlineStr">
        <is>
          <t>Size and weight</t>
        </is>
      </c>
      <c r="C38" s="190" t="inlineStr">
        <is>
          <t>Maximum payload</t>
        </is>
      </c>
      <c r="D38" s="179" t="n">
        <v>5.405405405405405</v>
      </c>
      <c r="E38" s="180" t="n">
        <v>-1</v>
      </c>
      <c r="F38" s="181" t="n">
        <v>-1</v>
      </c>
      <c r="G38" s="181" t="n"/>
      <c r="H38" s="181" t="n"/>
      <c r="I38" s="181" t="n"/>
      <c r="J38" s="181" t="n"/>
      <c r="K38" s="181" t="n"/>
      <c r="L38" s="181" t="n"/>
      <c r="M38" s="181" t="n"/>
      <c r="N38" s="181" t="n"/>
      <c r="O38" s="181" t="n"/>
      <c r="P38" s="181" t="n"/>
      <c r="Q38" s="181" t="n"/>
      <c r="R38" s="181" t="n"/>
      <c r="S38" s="181" t="n"/>
      <c r="T38" s="181" t="n"/>
      <c r="U38" s="181" t="n"/>
      <c r="V38" s="181" t="n"/>
      <c r="W38" s="181" t="n"/>
      <c r="X38" s="181" t="n"/>
      <c r="Y38" s="181" t="n"/>
      <c r="Z38" s="181" t="n"/>
      <c r="AA38" s="181" t="n">
        <v>2</v>
      </c>
      <c r="AB38" s="181" t="n">
        <v>2</v>
      </c>
      <c r="AC38" s="181" t="n">
        <v>1</v>
      </c>
      <c r="AD38" s="182" t="n"/>
      <c r="AE38" s="183" t="n">
        <v>3</v>
      </c>
      <c r="AF38" s="184" t="n">
        <v>4</v>
      </c>
      <c r="AG38" s="184" t="n">
        <v>4</v>
      </c>
      <c r="AH38" s="184" t="n">
        <v>3</v>
      </c>
      <c r="AI38" s="185" t="n">
        <v>4</v>
      </c>
      <c r="AJ38" s="186">
        <f>AE38*$D38</f>
        <v/>
      </c>
      <c r="AK38" s="187">
        <f>AF38*$D38</f>
        <v/>
      </c>
      <c r="AL38" s="187">
        <f>AG38*$D38</f>
        <v/>
      </c>
      <c r="AM38" s="187">
        <f>AH38*$D38</f>
        <v/>
      </c>
      <c r="AN38" s="188">
        <f>AI38*$D38</f>
        <v/>
      </c>
    </row>
    <row r="39">
      <c r="A39" s="120">
        <f>A38+1</f>
        <v/>
      </c>
      <c r="B39" s="189" t="inlineStr">
        <is>
          <t>Number and variety of sensors that can be accommodated</t>
        </is>
      </c>
      <c r="C39" s="190" t="inlineStr">
        <is>
          <t xml:space="preserve">Sensor loadout accommodations </t>
        </is>
      </c>
      <c r="D39" s="179" t="n">
        <v>10.81081081081081</v>
      </c>
      <c r="E39" s="180" t="n"/>
      <c r="F39" s="181" t="n"/>
      <c r="G39" s="181" t="n">
        <v>1</v>
      </c>
      <c r="H39" s="181" t="n">
        <v>2</v>
      </c>
      <c r="I39" s="181" t="n">
        <v>1</v>
      </c>
      <c r="J39" s="181" t="n">
        <v>2</v>
      </c>
      <c r="K39" s="181" t="n">
        <v>1</v>
      </c>
      <c r="L39" s="181" t="n">
        <v>-1</v>
      </c>
      <c r="M39" s="181" t="n">
        <v>-1</v>
      </c>
      <c r="N39" s="181" t="n"/>
      <c r="O39" s="181" t="n"/>
      <c r="P39" s="181" t="n"/>
      <c r="Q39" s="181" t="n"/>
      <c r="R39" s="181" t="n"/>
      <c r="S39" s="181" t="n"/>
      <c r="T39" s="181" t="n"/>
      <c r="U39" s="181" t="n"/>
      <c r="V39" s="181" t="n"/>
      <c r="W39" s="181" t="n">
        <v>1</v>
      </c>
      <c r="X39" s="181" t="n"/>
      <c r="Y39" s="181" t="n"/>
      <c r="Z39" s="181" t="n"/>
      <c r="AA39" s="181" t="n">
        <v>2</v>
      </c>
      <c r="AB39" s="181" t="n">
        <v>2</v>
      </c>
      <c r="AC39" s="181" t="n">
        <v>2</v>
      </c>
      <c r="AD39" s="182" t="n"/>
      <c r="AE39" s="183" t="n">
        <v>2</v>
      </c>
      <c r="AF39" s="184" t="n">
        <v>4</v>
      </c>
      <c r="AG39" s="184" t="n">
        <v>4</v>
      </c>
      <c r="AH39" s="184" t="n">
        <v>2</v>
      </c>
      <c r="AI39" s="185" t="n">
        <v>4</v>
      </c>
      <c r="AJ39" s="186">
        <f>AE39*$D39</f>
        <v/>
      </c>
      <c r="AK39" s="187">
        <f>AF39*$D39</f>
        <v/>
      </c>
      <c r="AL39" s="187">
        <f>AG39*$D39</f>
        <v/>
      </c>
      <c r="AM39" s="187">
        <f>AH39*$D39</f>
        <v/>
      </c>
      <c r="AN39" s="188">
        <f>AI39*$D39</f>
        <v/>
      </c>
    </row>
    <row r="40">
      <c r="A40" s="120">
        <f>A39+1</f>
        <v/>
      </c>
      <c r="B40" s="189" t="n"/>
      <c r="C40" s="190" t="inlineStr">
        <is>
          <t>Time to switch sensor loadouts</t>
        </is>
      </c>
      <c r="D40" s="179" t="n">
        <v>2.702702702702703</v>
      </c>
      <c r="E40" s="180" t="n"/>
      <c r="F40" s="181" t="n"/>
      <c r="G40" s="181" t="n"/>
      <c r="H40" s="181" t="n">
        <v>1</v>
      </c>
      <c r="I40" s="181" t="n">
        <v>1</v>
      </c>
      <c r="J40" s="181" t="n">
        <v>1</v>
      </c>
      <c r="K40" s="181" t="n">
        <v>1</v>
      </c>
      <c r="L40" s="181" t="n"/>
      <c r="M40" s="181" t="n"/>
      <c r="N40" s="181" t="n"/>
      <c r="O40" s="181" t="n"/>
      <c r="P40" s="181" t="n"/>
      <c r="Q40" s="181" t="n"/>
      <c r="R40" s="181" t="n"/>
      <c r="S40" s="181" t="n"/>
      <c r="T40" s="181" t="n"/>
      <c r="U40" s="181" t="n"/>
      <c r="V40" s="181" t="n"/>
      <c r="W40" s="181" t="n"/>
      <c r="X40" s="181" t="n"/>
      <c r="Y40" s="181" t="n"/>
      <c r="Z40" s="181" t="n"/>
      <c r="AA40" s="181" t="n"/>
      <c r="AB40" s="181" t="n"/>
      <c r="AC40" s="181" t="n">
        <v>1</v>
      </c>
      <c r="AD40" s="182" t="n"/>
      <c r="AE40" s="183" t="n">
        <v>2</v>
      </c>
      <c r="AF40" s="184" t="n">
        <v>3</v>
      </c>
      <c r="AG40" s="184" t="n">
        <v>2</v>
      </c>
      <c r="AH40" s="184" t="n">
        <v>3</v>
      </c>
      <c r="AI40" s="185" t="n">
        <v>2</v>
      </c>
      <c r="AJ40" s="186">
        <f>AE40*$D40</f>
        <v/>
      </c>
      <c r="AK40" s="187">
        <f>AF40*$D40</f>
        <v/>
      </c>
      <c r="AL40" s="187">
        <f>AG40*$D40</f>
        <v/>
      </c>
      <c r="AM40" s="187">
        <f>AH40*$D40</f>
        <v/>
      </c>
      <c r="AN40" s="188">
        <f>AI40*$D40</f>
        <v/>
      </c>
    </row>
    <row r="41">
      <c r="A41" s="120">
        <f>A40+1</f>
        <v/>
      </c>
      <c r="B41" s="189" t="inlineStr">
        <is>
          <t>Mean time between failures</t>
        </is>
      </c>
      <c r="C41" s="190" t="inlineStr">
        <is>
          <t>Robustness</t>
        </is>
      </c>
      <c r="D41" s="179" t="n">
        <v>8.108108108108109</v>
      </c>
      <c r="E41" s="180" t="n"/>
      <c r="F41" s="181" t="n"/>
      <c r="G41" s="181" t="n"/>
      <c r="H41" s="181" t="n"/>
      <c r="I41" s="181" t="n"/>
      <c r="J41" s="181" t="n"/>
      <c r="K41" s="181" t="n"/>
      <c r="L41" s="181" t="n">
        <v>1</v>
      </c>
      <c r="M41" s="181" t="n"/>
      <c r="N41" s="181" t="n"/>
      <c r="O41" s="181" t="n">
        <v>1</v>
      </c>
      <c r="P41" s="181" t="n">
        <v>1</v>
      </c>
      <c r="Q41" s="181" t="n"/>
      <c r="R41" s="181" t="n">
        <v>1</v>
      </c>
      <c r="S41" s="181" t="n">
        <v>-1</v>
      </c>
      <c r="T41" s="181" t="n"/>
      <c r="U41" s="181" t="n">
        <v>-1</v>
      </c>
      <c r="V41" s="181" t="n"/>
      <c r="W41" s="181" t="n"/>
      <c r="X41" s="181" t="n"/>
      <c r="Y41" s="181" t="n"/>
      <c r="Z41" s="181" t="n">
        <v>2</v>
      </c>
      <c r="AA41" s="181" t="n"/>
      <c r="AB41" s="181" t="n"/>
      <c r="AC41" s="181" t="n"/>
      <c r="AD41" s="182" t="n">
        <v>1</v>
      </c>
      <c r="AE41" s="183" t="n">
        <v>2</v>
      </c>
      <c r="AF41" s="184" t="n">
        <v>4</v>
      </c>
      <c r="AG41" s="184" t="n">
        <v>4</v>
      </c>
      <c r="AH41" s="184" t="n">
        <v>3</v>
      </c>
      <c r="AI41" s="185" t="n">
        <v>4</v>
      </c>
      <c r="AJ41" s="186">
        <f>AE41*$D41</f>
        <v/>
      </c>
      <c r="AK41" s="187">
        <f>AF41*$D41</f>
        <v/>
      </c>
      <c r="AL41" s="187">
        <f>AG41*$D41</f>
        <v/>
      </c>
      <c r="AM41" s="187">
        <f>AH41*$D41</f>
        <v/>
      </c>
      <c r="AN41" s="188">
        <f>AI41*$D41</f>
        <v/>
      </c>
    </row>
    <row r="42">
      <c r="A42" s="120">
        <f>A41+1</f>
        <v/>
      </c>
      <c r="B42" s="189" t="inlineStr">
        <is>
          <t>Mean time to repair</t>
        </is>
      </c>
      <c r="C42" s="190" t="inlineStr">
        <is>
          <t>Maintenance</t>
        </is>
      </c>
      <c r="D42" s="179" t="n">
        <v>2.702702702702703</v>
      </c>
      <c r="E42" s="180" t="n">
        <v>-1</v>
      </c>
      <c r="F42" s="181" t="n"/>
      <c r="G42" s="181" t="n"/>
      <c r="H42" s="181" t="n">
        <v>-1</v>
      </c>
      <c r="I42" s="181" t="n"/>
      <c r="J42" s="181" t="n"/>
      <c r="K42" s="181" t="n"/>
      <c r="L42" s="181" t="n"/>
      <c r="M42" s="181" t="n"/>
      <c r="N42" s="181" t="n"/>
      <c r="O42" s="181" t="n"/>
      <c r="P42" s="181" t="n"/>
      <c r="Q42" s="181" t="n"/>
      <c r="R42" s="181" t="n"/>
      <c r="S42" s="181" t="n"/>
      <c r="T42" s="181" t="n">
        <v>1</v>
      </c>
      <c r="U42" s="181" t="n">
        <v>1</v>
      </c>
      <c r="V42" s="181" t="n">
        <v>1</v>
      </c>
      <c r="W42" s="181" t="n">
        <v>1</v>
      </c>
      <c r="X42" s="181" t="n">
        <v>1</v>
      </c>
      <c r="Y42" s="181" t="n"/>
      <c r="Z42" s="181" t="n"/>
      <c r="AA42" s="181" t="n"/>
      <c r="AB42" s="181" t="n"/>
      <c r="AC42" s="181" t="n"/>
      <c r="AD42" s="182" t="n"/>
      <c r="AE42" s="183" t="n">
        <v>2</v>
      </c>
      <c r="AF42" s="184" t="n">
        <v>3</v>
      </c>
      <c r="AG42" s="184" t="n">
        <v>2</v>
      </c>
      <c r="AH42" s="184" t="n">
        <v>3</v>
      </c>
      <c r="AI42" s="185" t="n">
        <v>2</v>
      </c>
      <c r="AJ42" s="186">
        <f>AE42*$D42</f>
        <v/>
      </c>
      <c r="AK42" s="187">
        <f>AF42*$D42</f>
        <v/>
      </c>
      <c r="AL42" s="187">
        <f>AG42*$D42</f>
        <v/>
      </c>
      <c r="AM42" s="187">
        <f>AH42*$D42</f>
        <v/>
      </c>
      <c r="AN42" s="188">
        <f>AI42*$D42</f>
        <v/>
      </c>
    </row>
    <row r="43">
      <c r="A43" s="120">
        <f>A42+1</f>
        <v/>
      </c>
      <c r="B43" s="189" t="n"/>
      <c r="C43" s="190" t="inlineStr">
        <is>
          <t>Safety</t>
        </is>
      </c>
      <c r="D43" s="179" t="n">
        <v>10.81081081081081</v>
      </c>
      <c r="E43" s="180" t="n">
        <v>-2</v>
      </c>
      <c r="F43" s="181" t="n">
        <v>-1</v>
      </c>
      <c r="G43" s="181" t="n"/>
      <c r="H43" s="181" t="n"/>
      <c r="I43" s="181" t="n"/>
      <c r="J43" s="181" t="n"/>
      <c r="K43" s="181" t="n"/>
      <c r="L43" s="181" t="n">
        <v>2</v>
      </c>
      <c r="M43" s="181" t="n"/>
      <c r="N43" s="181" t="n">
        <v>1</v>
      </c>
      <c r="O43" s="181" t="n">
        <v>1</v>
      </c>
      <c r="P43" s="181" t="n"/>
      <c r="Q43" s="181" t="n">
        <v>2</v>
      </c>
      <c r="R43" s="181" t="n">
        <v>2</v>
      </c>
      <c r="S43" s="181" t="n"/>
      <c r="T43" s="181" t="n"/>
      <c r="U43" s="181" t="n"/>
      <c r="V43" s="181" t="n"/>
      <c r="W43" s="181" t="n"/>
      <c r="X43" s="181" t="n"/>
      <c r="Y43" s="181" t="n"/>
      <c r="Z43" s="181" t="n"/>
      <c r="AA43" s="181" t="n">
        <v>-1</v>
      </c>
      <c r="AB43" s="181" t="n"/>
      <c r="AC43" s="181" t="n"/>
      <c r="AD43" s="182" t="n"/>
      <c r="AE43" s="183" t="n">
        <v>3</v>
      </c>
      <c r="AF43" s="184" t="n">
        <v>5</v>
      </c>
      <c r="AG43" s="184" t="n">
        <v>5</v>
      </c>
      <c r="AH43" s="184" t="n">
        <v>3</v>
      </c>
      <c r="AI43" s="185" t="n">
        <v>5</v>
      </c>
      <c r="AJ43" s="186">
        <f>AE43*$D43</f>
        <v/>
      </c>
      <c r="AK43" s="187">
        <f>AF43*$D43</f>
        <v/>
      </c>
      <c r="AL43" s="187">
        <f>AG43*$D43</f>
        <v/>
      </c>
      <c r="AM43" s="187">
        <f>AH43*$D43</f>
        <v/>
      </c>
      <c r="AN43" s="188">
        <f>AI43*$D43</f>
        <v/>
      </c>
    </row>
    <row r="44" ht="17" customHeight="1">
      <c r="A44" s="120">
        <f>A43+1</f>
        <v/>
      </c>
      <c r="B44" s="191" t="n"/>
      <c r="C44" s="192" t="inlineStr">
        <is>
          <t>Coolness</t>
        </is>
      </c>
      <c r="D44" s="193" t="n">
        <v>8.108108108108109</v>
      </c>
      <c r="E44" s="194" t="n">
        <v>2</v>
      </c>
      <c r="F44" s="195" t="n">
        <v>1</v>
      </c>
      <c r="G44" s="195" t="n"/>
      <c r="H44" s="195" t="n"/>
      <c r="I44" s="195" t="n"/>
      <c r="J44" s="195" t="n"/>
      <c r="K44" s="195" t="n"/>
      <c r="L44" s="195" t="n">
        <v>1</v>
      </c>
      <c r="M44" s="195" t="n"/>
      <c r="N44" s="195" t="n"/>
      <c r="O44" s="195" t="n">
        <v>1</v>
      </c>
      <c r="P44" s="195" t="n"/>
      <c r="Q44" s="195" t="n">
        <v>1</v>
      </c>
      <c r="R44" s="195" t="n"/>
      <c r="S44" s="195" t="n"/>
      <c r="T44" s="195" t="n"/>
      <c r="U44" s="195" t="n"/>
      <c r="V44" s="195" t="n"/>
      <c r="W44" s="195" t="n"/>
      <c r="X44" s="195" t="n"/>
      <c r="Y44" s="195" t="n"/>
      <c r="Z44" s="195" t="n"/>
      <c r="AA44" s="195" t="n"/>
      <c r="AB44" s="195" t="n"/>
      <c r="AC44" s="195" t="n">
        <v>1</v>
      </c>
      <c r="AD44" s="196" t="n"/>
      <c r="AE44" s="197" t="n">
        <v>3</v>
      </c>
      <c r="AF44" s="198" t="n">
        <v>5</v>
      </c>
      <c r="AG44" s="198" t="n">
        <v>3</v>
      </c>
      <c r="AH44" s="198" t="n">
        <v>4</v>
      </c>
      <c r="AI44" s="199" t="n">
        <v>2</v>
      </c>
      <c r="AJ44" s="200">
        <f>AE44*$D44</f>
        <v/>
      </c>
      <c r="AK44" s="201">
        <f>AF44*$D44</f>
        <v/>
      </c>
      <c r="AL44" s="201">
        <f>AG44*$D44</f>
        <v/>
      </c>
      <c r="AM44" s="201">
        <f>AH44*$D44</f>
        <v/>
      </c>
      <c r="AN44" s="202">
        <f>AI44*$D44</f>
        <v/>
      </c>
    </row>
    <row r="45" ht="34" customHeight="1">
      <c r="B45" s="139" t="inlineStr">
        <is>
          <t>Competitor Legend</t>
        </is>
      </c>
      <c r="C45" s="203" t="inlineStr">
        <is>
          <t>Measurement Units</t>
        </is>
      </c>
      <c r="D45" s="99" t="n"/>
      <c r="E45" s="204" t="inlineStr">
        <is>
          <t>m/s</t>
        </is>
      </c>
      <c r="F45" s="204" t="inlineStr">
        <is>
          <t>m/s2</t>
        </is>
      </c>
      <c r="G45" s="204" t="inlineStr">
        <is>
          <t>Ghz</t>
        </is>
      </c>
      <c r="H45" s="204" t="inlineStr">
        <is>
          <t>#</t>
        </is>
      </c>
      <c r="I45" s="204" t="inlineStr">
        <is>
          <t>#</t>
        </is>
      </c>
      <c r="J45" s="204" t="inlineStr">
        <is>
          <t>#</t>
        </is>
      </c>
      <c r="K45" s="204" t="inlineStr">
        <is>
          <t>#</t>
        </is>
      </c>
      <c r="L45" s="204" t="inlineStr">
        <is>
          <t>T.U1</t>
        </is>
      </c>
      <c r="M45" s="204" t="inlineStr">
        <is>
          <t>T.U2</t>
        </is>
      </c>
      <c r="N45" s="204" t="inlineStr">
        <is>
          <t>T.U3</t>
        </is>
      </c>
      <c r="O45" s="204" t="inlineStr">
        <is>
          <t>T.U4</t>
        </is>
      </c>
      <c r="P45" s="204" t="inlineStr">
        <is>
          <t>T.U5</t>
        </is>
      </c>
      <c r="Q45" s="204" t="inlineStr">
        <is>
          <t>T.U6</t>
        </is>
      </c>
      <c r="R45" s="204" t="inlineStr">
        <is>
          <t>T.U7</t>
        </is>
      </c>
      <c r="S45" s="204" t="inlineStr">
        <is>
          <t>$</t>
        </is>
      </c>
      <c r="T45" s="204" t="inlineStr">
        <is>
          <t>$</t>
        </is>
      </c>
      <c r="U45" s="204" t="inlineStr">
        <is>
          <t>$</t>
        </is>
      </c>
      <c r="V45" s="204" t="inlineStr">
        <is>
          <t>$</t>
        </is>
      </c>
      <c r="W45" s="204" t="inlineStr">
        <is>
          <t>min</t>
        </is>
      </c>
      <c r="X45" s="204" t="inlineStr">
        <is>
          <t>min</t>
        </is>
      </c>
      <c r="Y45" s="204" t="inlineStr">
        <is>
          <t>hr</t>
        </is>
      </c>
      <c r="Z45" s="204" t="inlineStr">
        <is>
          <t>N</t>
        </is>
      </c>
      <c r="AA45" s="204" t="inlineStr">
        <is>
          <t>kg</t>
        </is>
      </c>
      <c r="AB45" s="204" t="inlineStr">
        <is>
          <t>m3</t>
        </is>
      </c>
      <c r="AC45" s="204" t="inlineStr">
        <is>
          <t>m3</t>
        </is>
      </c>
      <c r="AD45" s="205" t="inlineStr">
        <is>
          <t>Amp-hr</t>
        </is>
      </c>
      <c r="AJ45" s="206">
        <f>SUM(AJ33:AJ44)</f>
        <v/>
      </c>
      <c r="AK45" s="206">
        <f>SUM(AK33:AK44)</f>
        <v/>
      </c>
      <c r="AL45" s="206">
        <f>SUM(AL33:AL44)</f>
        <v/>
      </c>
      <c r="AM45" s="206">
        <f>SUM(AM33:AM44)</f>
        <v/>
      </c>
      <c r="AN45" s="206">
        <f>SUM(AN33:AN44)</f>
        <v/>
      </c>
      <c r="AP45" s="207" t="n"/>
    </row>
    <row r="46">
      <c r="B46" s="118" t="inlineStr">
        <is>
          <t>B</t>
        </is>
      </c>
      <c r="C46" s="208" t="inlineStr">
        <is>
          <t>Competitor Name B</t>
        </is>
      </c>
      <c r="D46" s="105" t="n"/>
      <c r="E46" s="128" t="n">
        <v>2</v>
      </c>
      <c r="F46" s="128" t="n">
        <v>4.5</v>
      </c>
      <c r="G46" s="128" t="n">
        <v>2.4</v>
      </c>
      <c r="H46" s="128" t="n">
        <v>2</v>
      </c>
      <c r="I46" s="128" t="n">
        <v>2</v>
      </c>
      <c r="J46" s="128" t="n">
        <v>2</v>
      </c>
      <c r="K46" s="128" t="n">
        <v>4</v>
      </c>
      <c r="L46" s="128" t="n">
        <v>3</v>
      </c>
      <c r="M46" s="128" t="n">
        <v>2</v>
      </c>
      <c r="N46" s="128" t="n">
        <v>2</v>
      </c>
      <c r="O46" s="128" t="n">
        <v>2</v>
      </c>
      <c r="P46" s="128" t="n">
        <v>2</v>
      </c>
      <c r="Q46" s="128" t="n">
        <v>2</v>
      </c>
      <c r="R46" s="128" t="n">
        <v>2</v>
      </c>
      <c r="S46" s="128" t="n">
        <v>3500</v>
      </c>
      <c r="T46" s="128" t="n">
        <v>500</v>
      </c>
      <c r="U46" s="128" t="n">
        <v>800</v>
      </c>
      <c r="V46" s="128" t="n">
        <v>200</v>
      </c>
      <c r="W46" s="128" t="n">
        <v>60</v>
      </c>
      <c r="X46" s="128" t="n">
        <v>240</v>
      </c>
      <c r="Y46" s="128" t="n">
        <v>80</v>
      </c>
      <c r="Z46" s="128" t="inlineStr">
        <is>
          <t>N/A</t>
        </is>
      </c>
      <c r="AA46" s="128" t="n">
        <v>2</v>
      </c>
      <c r="AB46" s="209" t="n">
        <v>0.02</v>
      </c>
      <c r="AC46" s="209" t="n">
        <v>0.01</v>
      </c>
      <c r="AD46" s="210" t="n">
        <v>4</v>
      </c>
    </row>
    <row r="47">
      <c r="B47" s="118" t="inlineStr">
        <is>
          <t>C</t>
        </is>
      </c>
      <c r="C47" s="208" t="inlineStr">
        <is>
          <t>Competitor Name C</t>
        </is>
      </c>
      <c r="D47" s="105" t="n"/>
      <c r="E47" s="128" t="n">
        <v>0.5</v>
      </c>
      <c r="F47" s="128" t="n">
        <v>1</v>
      </c>
      <c r="G47" s="128" t="n">
        <v>3</v>
      </c>
      <c r="H47" s="128" t="n">
        <v>4</v>
      </c>
      <c r="I47" s="128" t="n">
        <v>8</v>
      </c>
      <c r="J47" s="128" t="n">
        <v>4</v>
      </c>
      <c r="K47" s="128" t="n">
        <v>4</v>
      </c>
      <c r="L47" s="128" t="n">
        <v>5</v>
      </c>
      <c r="M47" s="128" t="n">
        <v>7</v>
      </c>
      <c r="N47" s="128" t="n">
        <v>6</v>
      </c>
      <c r="O47" s="128" t="n">
        <v>7</v>
      </c>
      <c r="P47" s="128" t="n">
        <v>3</v>
      </c>
      <c r="Q47" s="128" t="n">
        <v>5</v>
      </c>
      <c r="R47" s="128" t="n">
        <v>4</v>
      </c>
      <c r="S47" s="128" t="n">
        <v>2500</v>
      </c>
      <c r="T47" s="128" t="n">
        <v>200</v>
      </c>
      <c r="U47" s="128" t="n">
        <v>1500</v>
      </c>
      <c r="V47" s="128" t="n">
        <v>300</v>
      </c>
      <c r="W47" s="128" t="n">
        <v>120</v>
      </c>
      <c r="X47" s="128" t="n">
        <v>300</v>
      </c>
      <c r="Y47" s="128" t="n">
        <v>100</v>
      </c>
      <c r="Z47" s="128" t="inlineStr">
        <is>
          <t>N/A</t>
        </is>
      </c>
      <c r="AA47" s="128" t="n">
        <v>5</v>
      </c>
      <c r="AB47" s="128" t="n">
        <v>0.015</v>
      </c>
      <c r="AC47" s="128" t="n">
        <v>0.015</v>
      </c>
      <c r="AD47" s="210" t="n">
        <v>5</v>
      </c>
      <c r="AI47" s="123" t="n"/>
    </row>
    <row r="48">
      <c r="B48" s="118" t="n"/>
      <c r="C48" s="208" t="inlineStr">
        <is>
          <t>(External) Requirement Thresholds</t>
        </is>
      </c>
      <c r="D48" s="105" t="n"/>
      <c r="E48" s="128" t="n">
        <v>0.5</v>
      </c>
      <c r="F48" s="128" t="n">
        <v>0.5</v>
      </c>
      <c r="G48" s="128" t="inlineStr">
        <is>
          <t>N/A</t>
        </is>
      </c>
      <c r="H48" s="128" t="inlineStr">
        <is>
          <t>N/A</t>
        </is>
      </c>
      <c r="I48" s="128" t="n">
        <v>2</v>
      </c>
      <c r="J48" s="128" t="n">
        <v>1</v>
      </c>
      <c r="K48" s="128" t="n">
        <v>1</v>
      </c>
      <c r="L48" s="128" t="inlineStr">
        <is>
          <t>N/A</t>
        </is>
      </c>
      <c r="M48" s="128" t="inlineStr">
        <is>
          <t>N/A</t>
        </is>
      </c>
      <c r="N48" s="128" t="n">
        <v>1</v>
      </c>
      <c r="O48" s="128" t="inlineStr">
        <is>
          <t>N/A</t>
        </is>
      </c>
      <c r="P48" s="128" t="inlineStr">
        <is>
          <t>N/A</t>
        </is>
      </c>
      <c r="Q48" s="128" t="inlineStr">
        <is>
          <t>N/A</t>
        </is>
      </c>
      <c r="R48" s="128" t="inlineStr">
        <is>
          <t>N/A</t>
        </is>
      </c>
      <c r="S48" s="128" t="inlineStr">
        <is>
          <t>N/A</t>
        </is>
      </c>
      <c r="T48" s="128" t="inlineStr">
        <is>
          <t>N/A</t>
        </is>
      </c>
      <c r="U48" s="128" t="inlineStr">
        <is>
          <t>N/A</t>
        </is>
      </c>
      <c r="V48" s="128" t="inlineStr">
        <is>
          <t>N/A</t>
        </is>
      </c>
      <c r="W48" s="128" t="n">
        <v>180</v>
      </c>
      <c r="X48" s="128" t="inlineStr">
        <is>
          <t>N/A</t>
        </is>
      </c>
      <c r="Y48" s="128" t="inlineStr">
        <is>
          <t>N/A</t>
        </is>
      </c>
      <c r="Z48" s="128" t="inlineStr">
        <is>
          <t>N/A</t>
        </is>
      </c>
      <c r="AA48" s="128" t="n">
        <v>2</v>
      </c>
      <c r="AB48" s="128" t="inlineStr">
        <is>
          <t>N/A</t>
        </is>
      </c>
      <c r="AC48" s="128" t="inlineStr">
        <is>
          <t>N/A</t>
        </is>
      </c>
      <c r="AD48" s="210" t="inlineStr">
        <is>
          <t>N/A</t>
        </is>
      </c>
      <c r="AI48" s="123" t="n"/>
    </row>
    <row r="49">
      <c r="B49" s="118" t="n"/>
      <c r="C49" s="211" t="inlineStr">
        <is>
          <t>Targets</t>
        </is>
      </c>
      <c r="D49" s="105" t="n"/>
      <c r="E49" s="212" t="n">
        <v>1</v>
      </c>
      <c r="F49" s="212" t="n">
        <v>2</v>
      </c>
      <c r="G49" s="212" t="n">
        <v>3.2</v>
      </c>
      <c r="H49" s="212" t="n">
        <v>4</v>
      </c>
      <c r="I49" s="212" t="n">
        <v>8</v>
      </c>
      <c r="J49" s="212" t="n">
        <v>6</v>
      </c>
      <c r="K49" s="212" t="n">
        <v>5</v>
      </c>
      <c r="L49" s="212" t="n">
        <v>6</v>
      </c>
      <c r="M49" s="212" t="n">
        <v>7</v>
      </c>
      <c r="N49" s="212" t="n">
        <v>7</v>
      </c>
      <c r="O49" s="212" t="n">
        <v>7</v>
      </c>
      <c r="P49" s="212" t="n">
        <v>4</v>
      </c>
      <c r="Q49" s="212" t="n">
        <v>5</v>
      </c>
      <c r="R49" s="212" t="n">
        <v>5</v>
      </c>
      <c r="S49" s="212" t="n">
        <v>3000</v>
      </c>
      <c r="T49" s="212" t="n">
        <v>250</v>
      </c>
      <c r="U49" s="212" t="n">
        <v>1500</v>
      </c>
      <c r="V49" s="212" t="n">
        <v>300</v>
      </c>
      <c r="W49" s="212" t="n">
        <v>145</v>
      </c>
      <c r="X49" s="212" t="n">
        <v>200</v>
      </c>
      <c r="Y49" s="212" t="n">
        <v>100</v>
      </c>
      <c r="Z49" s="212" t="inlineStr">
        <is>
          <t>TBD</t>
        </is>
      </c>
      <c r="AA49" s="212" t="n">
        <v>5</v>
      </c>
      <c r="AB49" s="212" t="n">
        <v>0.01</v>
      </c>
      <c r="AC49" s="212" t="n">
        <v>0.015</v>
      </c>
      <c r="AD49" s="213" t="n">
        <v>5</v>
      </c>
      <c r="AI49" s="123" t="n"/>
    </row>
    <row r="50">
      <c r="B50" s="118" t="n"/>
      <c r="C50" s="208" t="inlineStr">
        <is>
          <t>Imputed Importance</t>
        </is>
      </c>
      <c r="D50" s="105" t="n"/>
      <c r="E50" s="214">
        <f>SUMPRODUCT((ABS(E33:E44)), $D33:$D44)</f>
        <v/>
      </c>
      <c r="F50" s="214" t="n">
        <v>54.05405405405405</v>
      </c>
      <c r="G50" s="214" t="n">
        <v>62.16216216216216</v>
      </c>
      <c r="H50" s="214" t="n">
        <v>51.35135135135135</v>
      </c>
      <c r="I50" s="214" t="n">
        <v>45.94594594594595</v>
      </c>
      <c r="J50" s="214" t="n">
        <v>43.24324324324324</v>
      </c>
      <c r="K50" s="214" t="n">
        <v>43.24324324324324</v>
      </c>
      <c r="L50" s="214" t="n">
        <v>75.67567567567569</v>
      </c>
      <c r="M50" s="214" t="n">
        <v>51.35135135135135</v>
      </c>
      <c r="N50" s="214" t="n">
        <v>45.94594594594595</v>
      </c>
      <c r="O50" s="214" t="n">
        <v>54.05405405405406</v>
      </c>
      <c r="P50" s="214" t="n">
        <v>10.81081081081081</v>
      </c>
      <c r="Q50" s="214" t="n">
        <v>64.86486486486487</v>
      </c>
      <c r="R50" s="214" t="n">
        <v>59.45945945945946</v>
      </c>
      <c r="S50" s="214" t="n">
        <v>16.21621621621622</v>
      </c>
      <c r="T50" s="214" t="n">
        <v>2.702702702702703</v>
      </c>
      <c r="U50" s="214" t="n">
        <v>2.702702702702703</v>
      </c>
      <c r="V50" s="214" t="n">
        <v>2.702702702702703</v>
      </c>
      <c r="W50" s="214" t="n">
        <v>18.91891891891892</v>
      </c>
      <c r="X50" s="214" t="n">
        <v>2.702702702702703</v>
      </c>
      <c r="Y50" s="214" t="n">
        <v>0</v>
      </c>
      <c r="Z50" s="214" t="n">
        <v>16.21621621621622</v>
      </c>
      <c r="AA50" s="214" t="n">
        <v>51.35135135135135</v>
      </c>
      <c r="AB50" s="214" t="n">
        <v>43.24324324324324</v>
      </c>
      <c r="AC50" s="214" t="n">
        <v>67.56756756756756</v>
      </c>
      <c r="AD50" s="215" t="n">
        <v>5.405405405405405</v>
      </c>
      <c r="AI50" s="123" t="n"/>
    </row>
    <row r="51">
      <c r="B51" s="118" t="n"/>
      <c r="C51" s="208" t="inlineStr">
        <is>
          <t>Positive Imputed Importance</t>
        </is>
      </c>
      <c r="D51" s="105" t="n"/>
      <c r="E51" s="214">
        <f>(SUMPRODUCT(E33:E44, $D33:$D44) + SUMPRODUCT((ABS(E33:E44)), $D33:$D44))/2</f>
        <v/>
      </c>
      <c r="F51" s="214">
        <f>(SUMPRODUCT(F33:F44, $D33:$D44) + SUMPRODUCT((ABS(F33:F44)), $D33:$D44))/2</f>
        <v/>
      </c>
      <c r="G51" s="214">
        <f>(SUMPRODUCT(G33:G44, $D33:$D44) + SUMPRODUCT((ABS(G33:G44)), $D33:$D44))/2</f>
        <v/>
      </c>
      <c r="H51" s="214">
        <f>(SUMPRODUCT(H33:H44, $D33:$D44) + SUMPRODUCT((ABS(H33:H44)), $D33:$D44))/2</f>
        <v/>
      </c>
      <c r="I51" s="214">
        <f>(SUMPRODUCT(I33:I44, $D33:$D44) + SUMPRODUCT((ABS(I33:I44)), $D33:$D44))/2</f>
        <v/>
      </c>
      <c r="J51" s="214">
        <f>(SUMPRODUCT(J33:J44, $D33:$D44) + SUMPRODUCT((ABS(J33:J44)), $D33:$D44))/2</f>
        <v/>
      </c>
      <c r="K51" s="214">
        <f>(SUMPRODUCT(K33:K44, $D33:$D44) + SUMPRODUCT((ABS(K33:K44)), $D33:$D44))/2</f>
        <v/>
      </c>
      <c r="L51" s="214">
        <f>(SUMPRODUCT(L33:L44, $D33:$D44) + SUMPRODUCT((ABS(L33:L44)), $D33:$D44))/2</f>
        <v/>
      </c>
      <c r="M51" s="214">
        <f>(SUMPRODUCT(M33:M44, $D33:$D44) + SUMPRODUCT((ABS(M33:M44)), $D33:$D44))/2</f>
        <v/>
      </c>
      <c r="N51" s="214">
        <f>(SUMPRODUCT(N33:N44, $D33:$D44) + SUMPRODUCT((ABS(N33:N44)), $D33:$D44))/2</f>
        <v/>
      </c>
      <c r="O51" s="214">
        <f>(SUMPRODUCT(O33:O44, $D33:$D44) + SUMPRODUCT((ABS(O33:O44)), $D33:$D44))/2</f>
        <v/>
      </c>
      <c r="P51" s="214">
        <f>(SUMPRODUCT(P33:P44, $D33:$D44) + SUMPRODUCT((ABS(P33:P44)), $D33:$D44))/2</f>
        <v/>
      </c>
      <c r="Q51" s="214">
        <f>(SUMPRODUCT(Q33:Q44, $D33:$D44) + SUMPRODUCT((ABS(Q33:Q44)), $D33:$D44))/2</f>
        <v/>
      </c>
      <c r="R51" s="214">
        <f>(SUMPRODUCT(R33:R44, $D33:$D44) + SUMPRODUCT((ABS(R33:R44)), $D33:$D44))/2</f>
        <v/>
      </c>
      <c r="S51" s="214">
        <f>(SUMPRODUCT(S33:S44, $D33:$D44) + SUMPRODUCT((ABS(S33:S44)), $D33:$D44))/2</f>
        <v/>
      </c>
      <c r="T51" s="214">
        <f>(SUMPRODUCT(T33:T44, $D33:$D44) + SUMPRODUCT((ABS(T33:T44)), $D33:$D44))/2</f>
        <v/>
      </c>
      <c r="U51" s="214">
        <f>(SUMPRODUCT(U33:U44, $D33:$D44) + SUMPRODUCT((ABS(U33:U44)), $D33:$D44))/2</f>
        <v/>
      </c>
      <c r="V51" s="214">
        <f>(SUMPRODUCT(V33:V44, $D33:$D44) + SUMPRODUCT((ABS(V33:V44)), $D33:$D44))/2</f>
        <v/>
      </c>
      <c r="W51" s="214">
        <f>(SUMPRODUCT(W33:W44, $D33:$D44) + SUMPRODUCT((ABS(W33:W44)), $D33:$D44))/2</f>
        <v/>
      </c>
      <c r="X51" s="214">
        <f>(SUMPRODUCT(X33:X44, $D33:$D44) + SUMPRODUCT((ABS(X33:X44)), $D33:$D44))/2</f>
        <v/>
      </c>
      <c r="Y51" s="214">
        <f>(SUMPRODUCT(Y33:Y44, $D33:$D44) + SUMPRODUCT((ABS(Y33:Y44)), $D33:$D44))/2</f>
        <v/>
      </c>
      <c r="Z51" s="214">
        <f>(SUMPRODUCT(Z33:Z44, $D33:$D44) + SUMPRODUCT((ABS(Z33:Z44)), $D33:$D44))/2</f>
        <v/>
      </c>
      <c r="AA51" s="214">
        <f>(SUMPRODUCT(AA33:AA44, $D33:$D44) + SUMPRODUCT((ABS(AA33:AA44)), $D33:$D44))/2</f>
        <v/>
      </c>
      <c r="AB51" s="214">
        <f>(SUMPRODUCT(AB33:AB44, $D33:$D44) + SUMPRODUCT((ABS(AB33:AB44)), $D33:$D44))/2</f>
        <v/>
      </c>
      <c r="AC51" s="214">
        <f>(SUMPRODUCT(AC33:AC44, $D33:$D44) + SUMPRODUCT((ABS(AC33:AC44)), $D33:$D44))/2</f>
        <v/>
      </c>
      <c r="AD51" s="215">
        <f>(SUMPRODUCT(AD33:AD44, $D33:$D44) + SUMPRODUCT((ABS(AD33:AD44)), $D33:$D44))/2</f>
        <v/>
      </c>
      <c r="AI51" s="123" t="n"/>
    </row>
    <row r="52">
      <c r="B52" s="118" t="n"/>
      <c r="C52" s="208" t="inlineStr">
        <is>
          <t>Negative Imputed Importance</t>
        </is>
      </c>
      <c r="D52" s="105" t="n"/>
      <c r="E52" s="214">
        <f>(-SUMPRODUCT(E33:E44, $D33:$D44)+SUMPRODUCT(ABS(E33:E44), $D33:$D44))/2</f>
        <v/>
      </c>
      <c r="F52" s="214">
        <f>(-SUMPRODUCT(F33:F44, $D33:$D44)+SUMPRODUCT(ABS(F33:F44), $D33:$D44))/2</f>
        <v/>
      </c>
      <c r="G52" s="214">
        <f>(-SUMPRODUCT(G33:G44, $D33:$D44)+SUMPRODUCT(ABS(G33:G44), $D33:$D44))/2</f>
        <v/>
      </c>
      <c r="H52" s="214">
        <f>(-SUMPRODUCT(H33:H44, $D33:$D44)+SUMPRODUCT(ABS(H33:H44), $D33:$D44))/2</f>
        <v/>
      </c>
      <c r="I52" s="214">
        <f>(-SUMPRODUCT(I33:I44, $D33:$D44)+SUMPRODUCT(ABS(I33:I44), $D33:$D44))/2</f>
        <v/>
      </c>
      <c r="J52" s="214">
        <f>(-SUMPRODUCT(J33:J44, $D33:$D44)+SUMPRODUCT(ABS(J33:J44), $D33:$D44))/2</f>
        <v/>
      </c>
      <c r="K52" s="214">
        <f>(-SUMPRODUCT(K33:K44, $D33:$D44)+SUMPRODUCT(ABS(K33:K44), $D33:$D44))/2</f>
        <v/>
      </c>
      <c r="L52" s="214">
        <f>(-SUMPRODUCT(L33:L44, $D33:$D44)+SUMPRODUCT(ABS(L33:L44), $D33:$D44))/2</f>
        <v/>
      </c>
      <c r="M52" s="214">
        <f>(-SUMPRODUCT(M33:M44, $D33:$D44)+SUMPRODUCT(ABS(M33:M44), $D33:$D44))/2</f>
        <v/>
      </c>
      <c r="N52" s="214">
        <f>(-SUMPRODUCT(N33:N44, $D33:$D44)+SUMPRODUCT(ABS(N33:N44), $D33:$D44))/2</f>
        <v/>
      </c>
      <c r="O52" s="214">
        <f>(-SUMPRODUCT(O33:O44, $D33:$D44)+SUMPRODUCT(ABS(O33:O44), $D33:$D44))/2</f>
        <v/>
      </c>
      <c r="P52" s="214">
        <f>(-SUMPRODUCT(P33:P44, $D33:$D44)+SUMPRODUCT(ABS(P33:P44), $D33:$D44))/2</f>
        <v/>
      </c>
      <c r="Q52" s="214">
        <f>(-SUMPRODUCT(Q33:Q44, $D33:$D44)+SUMPRODUCT(ABS(Q33:Q44), $D33:$D44))/2</f>
        <v/>
      </c>
      <c r="R52" s="214">
        <f>(-SUMPRODUCT(R33:R44, $D33:$D44)+SUMPRODUCT(ABS(R33:R44), $D33:$D44))/2</f>
        <v/>
      </c>
      <c r="S52" s="214">
        <f>(-SUMPRODUCT(S33:S44, $D33:$D44)+SUMPRODUCT(ABS(S33:S44), $D33:$D44))/2</f>
        <v/>
      </c>
      <c r="T52" s="214">
        <f>(-SUMPRODUCT(T33:T44, $D33:$D44)+SUMPRODUCT(ABS(T33:T44), $D33:$D44))/2</f>
        <v/>
      </c>
      <c r="U52" s="214">
        <f>(-SUMPRODUCT(U33:U44, $D33:$D44)+SUMPRODUCT(ABS(U33:U44), $D33:$D44))/2</f>
        <v/>
      </c>
      <c r="V52" s="214">
        <f>(-SUMPRODUCT(V33:V44, $D33:$D44)+SUMPRODUCT(ABS(V33:V44), $D33:$D44))/2</f>
        <v/>
      </c>
      <c r="W52" s="214">
        <f>(-SUMPRODUCT(W33:W44, $D33:$D44)+SUMPRODUCT(ABS(W33:W44), $D33:$D44))/2</f>
        <v/>
      </c>
      <c r="X52" s="214">
        <f>(-SUMPRODUCT(X33:X44, $D33:$D44)+SUMPRODUCT(ABS(X33:X44), $D33:$D44))/2</f>
        <v/>
      </c>
      <c r="Y52" s="214">
        <f>(-SUMPRODUCT(Y33:Y44, $D33:$D44)+SUMPRODUCT(ABS(Y33:Y44), $D33:$D44))/2</f>
        <v/>
      </c>
      <c r="Z52" s="214">
        <f>(-SUMPRODUCT(Z33:Z44, $D33:$D44)+SUMPRODUCT(ABS(Z33:Z44), $D33:$D44))/2</f>
        <v/>
      </c>
      <c r="AA52" s="214">
        <f>(-SUMPRODUCT(AA33:AA44, $D33:$D44)+SUMPRODUCT(ABS(AA33:AA44), $D33:$D44))/2</f>
        <v/>
      </c>
      <c r="AB52" s="214">
        <f>(-SUMPRODUCT(AB33:AB44, $D33:$D44)+SUMPRODUCT(ABS(AB33:AB44), $D33:$D44))/2</f>
        <v/>
      </c>
      <c r="AC52" s="214">
        <f>(-SUMPRODUCT(AC33:AC44, $D33:$D44)+SUMPRODUCT(ABS(AC33:AC44), $D33:$D44))/2</f>
        <v/>
      </c>
      <c r="AD52" s="215">
        <f>(-SUMPRODUCT(AD33:AD44, $D33:$D44)+SUMPRODUCT(ABS(AD33:AD44), $D33:$D44))/2</f>
        <v/>
      </c>
      <c r="AI52" s="123" t="n"/>
    </row>
    <row r="53">
      <c r="C53" s="208" t="inlineStr">
        <is>
          <t>Technical Difficulty (1 Low, 5 High)</t>
        </is>
      </c>
      <c r="D53" s="105" t="n"/>
      <c r="E53" s="128" t="n">
        <v>4</v>
      </c>
      <c r="F53" s="128" t="n">
        <v>4</v>
      </c>
      <c r="G53" s="128" t="n">
        <v>1</v>
      </c>
      <c r="H53" s="128" t="n">
        <v>2</v>
      </c>
      <c r="I53" s="128" t="n">
        <v>1</v>
      </c>
      <c r="J53" s="128" t="n">
        <v>2</v>
      </c>
      <c r="K53" s="128" t="n">
        <v>3</v>
      </c>
      <c r="L53" s="128" t="n">
        <v>4</v>
      </c>
      <c r="M53" s="128" t="n">
        <v>4</v>
      </c>
      <c r="N53" s="128" t="n">
        <v>3</v>
      </c>
      <c r="O53" s="128" t="n">
        <v>5</v>
      </c>
      <c r="P53" s="128" t="n">
        <v>2</v>
      </c>
      <c r="Q53" s="128" t="n">
        <v>4</v>
      </c>
      <c r="R53" s="128" t="n">
        <v>5</v>
      </c>
      <c r="S53" s="128" t="n">
        <v>2</v>
      </c>
      <c r="T53" s="128" t="n">
        <v>2</v>
      </c>
      <c r="U53" s="128" t="n">
        <v>4</v>
      </c>
      <c r="V53" s="128" t="n">
        <v>2</v>
      </c>
      <c r="W53" s="128" t="n">
        <v>3</v>
      </c>
      <c r="X53" s="128" t="n">
        <v>2</v>
      </c>
      <c r="Y53" s="128" t="n">
        <v>1</v>
      </c>
      <c r="Z53" s="128" t="n">
        <v>2</v>
      </c>
      <c r="AA53" s="128" t="n">
        <v>1</v>
      </c>
      <c r="AB53" s="128" t="n">
        <v>1</v>
      </c>
      <c r="AC53" s="128" t="n">
        <v>1</v>
      </c>
      <c r="AD53" s="210" t="n">
        <v>3</v>
      </c>
      <c r="AI53" s="123" t="n"/>
    </row>
    <row r="54" ht="17" customHeight="1">
      <c r="C54" s="216" t="inlineStr">
        <is>
          <t>Estimated Cost (1 Low, 5 High)</t>
        </is>
      </c>
      <c r="D54" s="114" t="n"/>
      <c r="E54" s="217" t="n">
        <v>5</v>
      </c>
      <c r="F54" s="217" t="n">
        <v>5</v>
      </c>
      <c r="G54" s="217" t="n">
        <v>4</v>
      </c>
      <c r="H54" s="217" t="n">
        <v>2</v>
      </c>
      <c r="I54" s="217" t="n">
        <v>1</v>
      </c>
      <c r="J54" s="217" t="n">
        <v>2</v>
      </c>
      <c r="K54" s="217" t="n">
        <v>3</v>
      </c>
      <c r="L54" s="217" t="n">
        <v>4</v>
      </c>
      <c r="M54" s="217" t="n">
        <v>1</v>
      </c>
      <c r="N54" s="217" t="n">
        <v>0</v>
      </c>
      <c r="O54" s="217" t="n">
        <v>0</v>
      </c>
      <c r="P54" s="217" t="n">
        <v>0</v>
      </c>
      <c r="Q54" s="217" t="n">
        <v>0</v>
      </c>
      <c r="R54" s="217" t="n">
        <v>0</v>
      </c>
      <c r="S54" s="217" t="n">
        <v>2</v>
      </c>
      <c r="T54" s="217" t="n">
        <v>2</v>
      </c>
      <c r="U54" s="217" t="n">
        <v>5</v>
      </c>
      <c r="V54" s="217" t="n">
        <v>2</v>
      </c>
      <c r="W54" s="217" t="inlineStr">
        <is>
          <t>N/A</t>
        </is>
      </c>
      <c r="X54" s="217" t="n">
        <v>1</v>
      </c>
      <c r="Y54" s="217" t="n">
        <v>4</v>
      </c>
      <c r="Z54" s="217" t="n">
        <v>1</v>
      </c>
      <c r="AA54" s="217" t="inlineStr">
        <is>
          <t>N/A</t>
        </is>
      </c>
      <c r="AB54" s="217" t="inlineStr">
        <is>
          <t>N/A</t>
        </is>
      </c>
      <c r="AC54" s="217" t="inlineStr">
        <is>
          <t>N/A</t>
        </is>
      </c>
      <c r="AD54" s="218" t="n">
        <v>3</v>
      </c>
      <c r="AI54" s="123" t="n"/>
    </row>
    <row r="55">
      <c r="AI55" s="123" t="n"/>
    </row>
    <row r="56">
      <c r="AI56" s="123" t="n"/>
      <c r="AP56" s="117" t="n"/>
    </row>
    <row r="57">
      <c r="D57" s="120" t="inlineStr">
        <is>
          <t>Table U4: Path Planning Quality Options</t>
        </is>
      </c>
      <c r="AI57" s="123" t="n"/>
      <c r="AO57" s="123" t="n"/>
    </row>
    <row r="58">
      <c r="D58" s="120" t="n">
        <v>1</v>
      </c>
      <c r="E58" s="120" t="inlineStr">
        <is>
          <t>BingBang</t>
        </is>
      </c>
      <c r="AO58" s="123" t="n"/>
    </row>
    <row r="59">
      <c r="D59" s="120" t="n">
        <v>2</v>
      </c>
      <c r="E59" s="120" t="inlineStr">
        <is>
          <t>RRT</t>
        </is>
      </c>
      <c r="AO59" s="123" t="n"/>
    </row>
    <row r="60">
      <c r="D60" s="120" t="n">
        <v>3</v>
      </c>
      <c r="E60" s="120" t="inlineStr">
        <is>
          <t>RRT + BingBang</t>
        </is>
      </c>
      <c r="AO60" s="123" t="n"/>
    </row>
    <row r="61">
      <c r="D61" s="120" t="n">
        <v>4</v>
      </c>
      <c r="E61" s="120" t="inlineStr">
        <is>
          <t>Dijksta's</t>
        </is>
      </c>
      <c r="AO61" s="123" t="n"/>
    </row>
    <row r="62">
      <c r="D62" s="120" t="n">
        <v>5</v>
      </c>
      <c r="E62" s="120" t="inlineStr">
        <is>
          <t>Dijksta's + BingBang</t>
        </is>
      </c>
    </row>
    <row r="63">
      <c r="D63" s="120" t="n">
        <v>6</v>
      </c>
      <c r="E63" s="120" t="inlineStr">
        <is>
          <t>A*</t>
        </is>
      </c>
    </row>
    <row r="64">
      <c r="D64" s="120" t="n">
        <v>7</v>
      </c>
      <c r="E64" s="120" t="inlineStr">
        <is>
          <t>A* + BingBang</t>
        </is>
      </c>
    </row>
    <row r="65">
      <c r="D65" s="120" t="n">
        <v>8</v>
      </c>
      <c r="E65" s="120" t="inlineStr">
        <is>
          <t>Neural Network</t>
        </is>
      </c>
    </row>
    <row r="66">
      <c r="D66" s="120" t="n">
        <v>9</v>
      </c>
      <c r="E66" s="120" t="inlineStr">
        <is>
          <t>Primitives</t>
        </is>
      </c>
    </row>
    <row r="67">
      <c r="D67" s="120" t="n">
        <v>10</v>
      </c>
      <c r="E67" s="120" t="inlineStr">
        <is>
          <t>Primitves + BingBang</t>
        </is>
      </c>
    </row>
    <row r="68">
      <c r="D68" s="120" t="n">
        <v>11</v>
      </c>
      <c r="E68" s="120" t="inlineStr">
        <is>
          <t>G*TA + Diijkstra's</t>
        </is>
      </c>
    </row>
    <row r="69">
      <c r="D69" s="120" t="n">
        <v>12</v>
      </c>
      <c r="E69" s="120" t="inlineStr">
        <is>
          <t>G*TA + Diijkstra's + BingBang</t>
        </is>
      </c>
    </row>
    <row r="70">
      <c r="D70" s="120" t="n">
        <v>13</v>
      </c>
      <c r="E70" s="120" t="inlineStr">
        <is>
          <t>G*TA + Primatives</t>
        </is>
      </c>
    </row>
    <row r="71">
      <c r="D71" s="120" t="n">
        <v>14</v>
      </c>
      <c r="E71" s="120" t="inlineStr">
        <is>
          <t>G*TA + Primitives + BingBang</t>
        </is>
      </c>
    </row>
  </sheetData>
  <mergeCells count="16">
    <mergeCell ref="AJ31:AN31"/>
    <mergeCell ref="B2:C2"/>
    <mergeCell ref="C46:D46"/>
    <mergeCell ref="C47:D47"/>
    <mergeCell ref="C54:D54"/>
    <mergeCell ref="C51:D51"/>
    <mergeCell ref="B19:C19"/>
    <mergeCell ref="AE31:AI31"/>
    <mergeCell ref="C50:D50"/>
    <mergeCell ref="C45:D45"/>
    <mergeCell ref="AE30:AN30"/>
    <mergeCell ref="C52:D52"/>
    <mergeCell ref="C53:D53"/>
    <mergeCell ref="C48:D48"/>
    <mergeCell ref="B4:C4"/>
    <mergeCell ref="C49:D49"/>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112.1640625" customWidth="1" min="1" max="1"/>
  </cols>
  <sheetData>
    <row r="1" ht="29.25" customHeight="1">
      <c r="A1" s="219" t="inlineStr">
        <is>
          <t xml:space="preserve">Engineering Characteristics Explained: </t>
        </is>
      </c>
    </row>
    <row r="2" ht="15.75" customHeight="1">
      <c r="A2" s="220" t="n"/>
    </row>
    <row r="3" ht="51" customHeight="1">
      <c r="A3" s="221" t="inlineStr">
        <is>
          <t>Here's some basic background on the engineering characteristics to help you better understand the Robotic Vehicle example in the QFD Sample tab. This is not meant to be a comprehesive system review, but it should put some of what you see in the QFD sample into context.</t>
        </is>
      </c>
    </row>
    <row r="4" ht="16" customHeight="1">
      <c r="A4" s="221" t="n"/>
    </row>
    <row r="5" ht="176" customHeight="1">
      <c r="A5" s="222" t="inlineStr">
        <is>
          <t>Robot Vehicle Operation
The operation begins with the vehicle getting a command to go to a new destination (the star) and operate its payload and navigation sensors along the way. To perform the "travel to destination" task, the vehicle has a suite of on-board navigation sensors that help it to estimate physical parameters in the world around it and populate a local area “map” (i.e. a grid of square cells) that indicates how safe it is to travel in each cell.
The vehicle then runs a low level controls algorithm to create commands for the vehicle’s motors to drive the vehicle along the calculated path. As the vehicle moves, new sensor information is brought in to update the map and the process repeats itself. This map is then used by a path planning algorithm to determine a route for the vehicle to travel from its current location to the desired destination.</t>
        </is>
      </c>
    </row>
    <row r="6" ht="17" customHeight="1">
      <c r="A6" s="221" t="inlineStr">
        <is>
          <t xml:space="preserve">Here's a diagram that shows the steps in the process of the "travel to destination" task. </t>
        </is>
      </c>
    </row>
    <row r="7" ht="299" customHeight="1">
      <c r="A7" s="221" t="n"/>
    </row>
    <row r="8" ht="15" customHeight="1">
      <c r="A8" s="221" t="n"/>
    </row>
    <row r="9" ht="329" customHeight="1">
      <c r="A9" s="222" t="inlineStr">
        <is>
          <t>From the description of the robot vehicle operation, it becomes easier to identify some engineering characteristics. Some of the more obvious characteristics are: 
   • maximum speed
   • sensor accuracy, and 
   • mapping precision (how good our system is at interpreting the sensor data into something meaningful)
Going further, characteristics that could have significant impacts include: 
   • the frequency at which the map is updated
   • the frequency at which the path planning algorithm is re-run to account for any map updates or new destination commands, and 
   • how often adjustments are made to the motor commands. 
These are all important, even though some may not be the first characteristics that come to mind. The precision and accuracy of these last three characteristics will also have a significant performance impact and may vary depending upon how we design our system.
Other aspects of our system in the list include that our vehicle might have different kinds of sensor ports and a different number of each type. To operate those sensors we might need different microcontrollers (smaller, possibly more specialized electronics boards) and a main computer onboard the vehicle. In the list below, “quality” is a general term used where the higher quality an engineering characteristic is made, the more it is assumed to provide better results, but may take more computational resources or require fancier components to operate.</t>
        </is>
      </c>
    </row>
    <row r="10" ht="16" customHeight="1">
      <c r="A10" s="221" t="n"/>
    </row>
    <row r="11" ht="20" customHeight="1">
      <c r="A11" s="223" t="inlineStr">
        <is>
          <t>ENGINEERING CHARACTERISTICS DESCRIPTIONS</t>
        </is>
      </c>
    </row>
    <row r="12" ht="16" customHeight="1">
      <c r="A12" s="221" t="n"/>
    </row>
    <row r="13" ht="51" customHeight="1">
      <c r="A13" s="221" t="inlineStr">
        <is>
          <t>• Maximum Speed is how fast the robot can travel. Maximum Acceleration is how quickly the robot can achieve that speed from a stopped position. Maximum Acceleration also relates to how quickly the robot may be able to change direction.</t>
        </is>
      </c>
    </row>
    <row r="14" ht="16" customHeight="1">
      <c r="A14" s="221" t="n"/>
    </row>
    <row r="15" ht="131" customHeight="1">
      <c r="A15" s="221" t="inlineStr">
        <is>
          <t>• The CPU is the main processing unit which handles many of the more complex computations such as interpreting the sensor data and running the more complex algorithms like the path planning and possibly some of the higher-level controls. Microcontrollers handle simpler computational tasks and the direct input and output commands to other components, such as reading in the sensor data (example of an input), or aiding in sending of the proper voltage to motors so they will actually move (example of an output). Some microcontrollers may be able to do some initial filtering of sensor readings to improve the value of the sensor data. Microcontrollers may also run some simpler lower level controls programs such as helping to make sure the motor wheels are spinning at the desired speed. Determining that desired speed or what to do with those improved sensor readings is handled more often by a CPU.</t>
        </is>
      </c>
    </row>
    <row r="16" ht="16" customHeight="1">
      <c r="A16" s="221" t="n"/>
    </row>
    <row r="17" ht="67" customHeight="1">
      <c r="A17" s="221" t="inlineStr">
        <is>
          <t>• Sensor Port Type refers to the idea that different sensors have different connection requirements. Some sensors may require more input/output pins on a microcontroller, some may require specific communication protocols, etc. For this example, the QFD is considering 3 different kinds of sets of sensors requirements. The details for each set is not important for this example, but it is worthwhile to recognize that each sensor type may affect the performance criteria differently.</t>
        </is>
      </c>
    </row>
    <row r="18" ht="16" customHeight="1">
      <c r="A18" s="221" t="n"/>
    </row>
    <row r="19" ht="51" customHeight="1">
      <c r="A19" s="221" t="inlineStr">
        <is>
          <t xml:space="preserve">• Navigation Sensor Quality relates to how accurately the robot can the detect its surroundings. As the quality of these sensors increase, it typically means that the sensors are larger and/or more numerous and also require more computational support to operate and interpret. </t>
        </is>
      </c>
    </row>
    <row r="20" ht="16" customHeight="1">
      <c r="A20" s="221" t="n"/>
    </row>
    <row r="21" ht="82" customHeight="1">
      <c r="A21" s="221" t="inlineStr">
        <is>
          <t xml:space="preserve">• Sensor Filter Quality is a measure for how much processing the raw sensor data undergoes. Typically, the more filtering, the better the quality (i.e. the more useful and reliable) the resulting processed data is. There is often a diminishing return for the amount of effort put into the sensor filtering and the quality of the resulting processed data, i.e. it’s often easy to filter away some of the larger noise but to get better accuracy, it takes significant effort to tune the filters and/or develop algorithms to refine sets of data. </t>
        </is>
      </c>
    </row>
    <row r="22" ht="16" customHeight="1">
      <c r="A22" s="221" t="n"/>
    </row>
    <row r="23" ht="97" customHeight="1">
      <c r="A23" s="221" t="inlineStr">
        <is>
          <t>• Path Planning Quality is how good a path one creates, where goodness could be defined by criteria such as minimizing the path length’s distance or maintaining a safe distance from certain obstacles. Control / Path Following Accuracy is how well you follow the path you have created, independent of the speed you are travelling along the path. Controls Quality is related to Control / Path Following Accuracy, but Controls Quality refers to how well your system may be able to react to quick changes in commands or maintain a desired output disturbance (e.g., keep going straight when going over a bump).</t>
        </is>
      </c>
    </row>
    <row r="24" ht="16" customHeight="1">
      <c r="A24" s="221" t="n"/>
    </row>
    <row r="25" ht="51" customHeight="1">
      <c r="A25" s="221" t="inlineStr">
        <is>
          <t>• Initialization and Calibration Time refers to the time it takes to prepare the robot and all of its sensors, algorithms, etc. for use when it had been brought into new operating conditions or otherwise has been repaired, significantly modified, or reset.</t>
        </is>
      </c>
    </row>
    <row r="26" ht="16" customHeight="1">
      <c r="A26" s="221" t="n"/>
    </row>
    <row r="27" ht="34" customHeight="1">
      <c r="A27" s="221" t="inlineStr">
        <is>
          <t xml:space="preserve">• Assembly Time is the amount of time it takes to put the robot together for the first time. Manufacturing Time is the amount of time it takes to machine, construct, and otherwise ready all of the components for the robot to be put together. </t>
        </is>
      </c>
    </row>
    <row r="28" ht="16" customHeight="1">
      <c r="A28" s="221" t="n"/>
    </row>
    <row r="29" ht="34" customHeight="1">
      <c r="A29" s="221" t="inlineStr">
        <is>
          <t>• Frame Strength refers to the amount of force the robot can withstand before enough damage has been done to affect the robot’s performance.</t>
        </is>
      </c>
    </row>
    <row r="30" ht="16" customHeight="1">
      <c r="A30" s="221" t="n"/>
    </row>
    <row r="31" ht="64" customHeight="1">
      <c r="A31" s="221" t="inlineStr">
        <is>
          <t xml:space="preserve">• Max Payload Weight refers to the maximum amount of weight in addition to that of the robot that can be carried without altering the robot’s performance to be outside of its requirements. Max Payload Size refers to the space available to securely carry a payload. Sensor Bay Size refers to the space, separate from the payload space, that is dedicated to accommodating additional potential on-board sensors. </t>
        </is>
      </c>
    </row>
    <row r="32" ht="16" customHeight="1">
      <c r="A32" s="221" t="n"/>
    </row>
    <row r="33" ht="17" customHeight="1">
      <c r="A33" s="221" t="inlineStr">
        <is>
          <t>• Battery Capacity refers to the size and energy storage (which are proportionally related) of the on-board batteries.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cols>
    <col width="4" customWidth="1" min="1" max="1"/>
    <col width="18"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s>
  <sheetData>
    <row r="1">
      <c r="A1" s="224" t="inlineStr">
        <is>
          <t>c1v Dual-Mode Platform — N2 Interface Chart</t>
        </is>
      </c>
    </row>
    <row r="2">
      <c r="A2" s="225" t="inlineStr">
        <is>
          <t>Type: operational  |  v1.0  |  2026-04-20  |  32 internal + 10 external interfaces  |  endpoints: 56 declared vs. 40 QFD target (+40%)</t>
        </is>
      </c>
    </row>
    <row r="3"/>
    <row r="4" ht="45" customHeight="1">
      <c r="A4" s="226" t="n"/>
      <c r="B4" s="226" t="inlineStr">
        <is>
          <t>FROM \ TO</t>
        </is>
      </c>
      <c r="C4" s="227" t="inlineStr">
        <is>
          <t>SS1
Founder Web UI</t>
        </is>
      </c>
      <c r="D4" s="228" t="inlineStr">
        <is>
          <t>SS2
Session Manager</t>
        </is>
      </c>
      <c r="E4" s="229" t="inlineStr">
        <is>
          <t>SS3
Agent Orchestrator</t>
        </is>
      </c>
      <c r="F4" s="229" t="inlineStr">
        <is>
          <t>SS4
LLM Provider Layer</t>
        </is>
      </c>
      <c r="G4" s="230" t="inlineStr">
        <is>
          <t>SS5
Prompt Cache</t>
        </is>
      </c>
      <c r="H4" s="229" t="inlineStr">
        <is>
          <t>SS6
Spec Generator</t>
        </is>
      </c>
      <c r="I4" s="230" t="inlineStr">
        <is>
          <t>SS7
Traceback Store</t>
        </is>
      </c>
      <c r="J4" s="229" t="inlineStr">
        <is>
          <t>SS8
CLI Bundle Emitter</t>
        </is>
      </c>
      <c r="K4" s="231" t="inlineStr">
        <is>
          <t>SS9
Probe SDK</t>
        </is>
      </c>
      <c r="L4" s="229" t="inlineStr">
        <is>
          <t>SS10
Metrics Collector</t>
        </is>
      </c>
      <c r="M4" s="230" t="inlineStr">
        <is>
          <t>SS11
Metric Store</t>
        </is>
      </c>
      <c r="N4" s="229" t="inlineStr">
        <is>
          <t>SS12
Recommendation Engine</t>
        </is>
      </c>
      <c r="O4" s="228" t="inlineStr">
        <is>
          <t>SS13
Auth / Credential Vault</t>
        </is>
      </c>
      <c r="P4" s="230" t="inlineStr">
        <is>
          <t>SS14
Audit Log Store</t>
        </is>
      </c>
    </row>
    <row r="5" ht="70" customHeight="1">
      <c r="A5" s="226" t="n">
        <v>1</v>
      </c>
      <c r="B5" s="227" t="inlineStr">
        <is>
          <t>SS1
Founder Web UI</t>
        </is>
      </c>
      <c r="C5" s="232" t="inlineStr">
        <is>
          <t>SS1
Founder Web UI</t>
        </is>
      </c>
      <c r="D5" s="233" t="inlineStr">
        <is>
          <t>IF-01
Founder auth + mode select
Login credentials, mode selection (Cloud/Local), intake intent. Drives session boot.</t>
        </is>
      </c>
      <c r="E5" s="234" t="n"/>
      <c r="F5" s="234" t="n"/>
      <c r="G5" s="234" t="n"/>
      <c r="H5" s="233" t="inlineStr">
        <is>
          <t>IF-31
Spec review approvals
Founder approvals/edits to draft spec. Gates IF-15 (CLI emission).</t>
        </is>
      </c>
      <c r="I5" s="234" t="n"/>
      <c r="J5" s="234" t="n"/>
      <c r="K5" s="234" t="n"/>
      <c r="L5" s="234" t="n"/>
      <c r="M5" s="234" t="n"/>
      <c r="N5" s="234" t="n"/>
      <c r="O5" s="234" t="n"/>
      <c r="P5" s="234" t="n"/>
    </row>
    <row r="6" ht="70" customHeight="1">
      <c r="A6" s="226" t="n">
        <v>2</v>
      </c>
      <c r="B6" s="228" t="inlineStr">
        <is>
          <t>SS2
Session Manager</t>
        </is>
      </c>
      <c r="C6" s="233" t="inlineStr">
        <is>
          <t>IF-02
Session state + UI stream
Server-sent events: session bound, intake turn payload, spec preview, progress deltas. 50ms streaming cadence (EC16).</t>
        </is>
      </c>
      <c r="D6" s="235" t="inlineStr">
        <is>
          <t>SS2
Session Manager</t>
        </is>
      </c>
      <c r="E6" s="233" t="inlineStr">
        <is>
          <t>IF-03
Dispatch request (locked mode)
Authenticated principal + locked mode + intake payload. MUST include mode lock before parallel dispatch (EC5↔EC6 roof resolution).</t>
        </is>
      </c>
      <c r="F6" s="233" t="inlineStr">
        <is>
          <t>IF-09
Routing policy write
Per-session routing policy (provider preference, temperature, local-mode flag). EC5 target = per-session (2).</t>
        </is>
      </c>
      <c r="G6" s="234" t="n"/>
      <c r="H6" s="234" t="n"/>
      <c r="I6" s="234" t="n"/>
      <c r="J6" s="234" t="n"/>
      <c r="K6" s="234" t="n"/>
      <c r="L6" s="234" t="n"/>
      <c r="M6" s="234" t="n"/>
      <c r="N6" s="234" t="n"/>
      <c r="O6" s="236" t="inlineStr">
        <is>
          <t>IF-28
Token refresh / rotate
Rotation trigger at 90d cadence (EC17).</t>
        </is>
      </c>
      <c r="P6" s="234" t="n"/>
    </row>
    <row r="7" ht="70" customHeight="1">
      <c r="A7" s="226" t="n">
        <v>3</v>
      </c>
      <c r="B7" s="229" t="inlineStr">
        <is>
          <t>SS3
Agent Orchestrator</t>
        </is>
      </c>
      <c r="C7" s="234" t="n"/>
      <c r="D7" s="233" t="inlineStr">
        <is>
          <t>IF-04
Agent run state
Per-run status, agent counts (≤5), tokens consumed (≤8000/call), completion/failure events.</t>
        </is>
      </c>
      <c r="E7" s="237" t="inlineStr">
        <is>
          <t>SS3
Agent Orchestrator</t>
        </is>
      </c>
      <c r="F7" s="233" t="inlineStr">
        <is>
          <t>IF-07
LLM call
Prompt + tool set + context (≤8000 tokens, EC8). Cache-miss only. Routed per session policy (EC5).</t>
        </is>
      </c>
      <c r="G7" s="236" t="inlineStr">
        <is>
          <t>IF-05
Cache lookup
Prompt hash + cache key. Attempt first; fallthrough on miss. Target ≥70% hit rate rolling 24h (EC7).</t>
        </is>
      </c>
      <c r="H7" s="233" t="inlineStr">
        <is>
          <t>IF-11
Generate spec request
Intake-approved requirements → spec generation request (Mermaid v1, EC12).</t>
        </is>
      </c>
      <c r="I7" s="234" t="n"/>
      <c r="J7" s="233" t="inlineStr">
        <is>
          <t>IF-15
Emit CLI bundle
Approved spec URI → emit SKILL.md + CLAUDE.md + MCP tool defs. ≤5MB bundle (EC14). Only fires after IF-12 review.</t>
        </is>
      </c>
      <c r="K7" s="234" t="n"/>
      <c r="L7" s="234" t="n"/>
      <c r="M7" s="234" t="n"/>
      <c r="N7" s="234" t="n"/>
      <c r="O7" s="234" t="n"/>
      <c r="P7" s="233" t="inlineStr">
        <is>
          <t>IF-24
Audit log write
All orchestration events, spec approvals, CLI emissions, mode switches. 90d retention (EC18).</t>
        </is>
      </c>
    </row>
    <row r="8" ht="70" customHeight="1">
      <c r="A8" s="226" t="n">
        <v>4</v>
      </c>
      <c r="B8" s="229" t="inlineStr">
        <is>
          <t>SS4
LLM Provider Layer</t>
        </is>
      </c>
      <c r="C8" s="234" t="n"/>
      <c r="D8" s="234" t="n"/>
      <c r="E8" s="233" t="inlineStr">
        <is>
          <t>IF-08
Completion / tool calls
Model completion, tool calls, usage metadata. Streamed to UI via SS2→SS1.</t>
        </is>
      </c>
      <c r="F8" s="237" t="inlineStr">
        <is>
          <t>SS4
LLM Provider Layer</t>
        </is>
      </c>
      <c r="G8" s="234" t="n"/>
      <c r="H8" s="234" t="n"/>
      <c r="I8" s="234" t="n"/>
      <c r="J8" s="234" t="n"/>
      <c r="K8" s="234" t="n"/>
      <c r="L8" s="234" t="n"/>
      <c r="M8" s="234" t="n"/>
      <c r="N8" s="234" t="n"/>
      <c r="O8" s="234" t="n"/>
      <c r="P8" s="234" t="n"/>
    </row>
    <row r="9" ht="70" customHeight="1">
      <c r="A9" s="226" t="n">
        <v>5</v>
      </c>
      <c r="B9" s="230" t="inlineStr">
        <is>
          <t>SS5
Prompt Cache</t>
        </is>
      </c>
      <c r="C9" s="234" t="n"/>
      <c r="D9" s="234" t="n"/>
      <c r="E9" s="236" t="inlineStr">
        <is>
          <t>IF-06
Cache hit/miss response
Cached completion on hit; miss signal otherwise. Determines whether SS4 is called.</t>
        </is>
      </c>
      <c r="F9" s="233" t="inlineStr">
        <is>
          <t>IF-10
Cache-assisted call
SS5 forwards cache-qualified prompts to SS4 with prefix reuse hints. Part of the ≥70% hit-rate pipeline (EC7).</t>
        </is>
      </c>
      <c r="G9" s="238" t="inlineStr">
        <is>
          <t>SS5
Prompt Cache</t>
        </is>
      </c>
      <c r="H9" s="234" t="n"/>
      <c r="I9" s="234" t="n"/>
      <c r="J9" s="234" t="n"/>
      <c r="K9" s="234" t="n"/>
      <c r="L9" s="234" t="n"/>
      <c r="M9" s="234" t="n"/>
      <c r="N9" s="234" t="n"/>
      <c r="O9" s="234" t="n"/>
      <c r="P9" s="234" t="n"/>
    </row>
    <row r="10" ht="70" customHeight="1">
      <c r="A10" s="226" t="n">
        <v>6</v>
      </c>
      <c r="B10" s="229" t="inlineStr">
        <is>
          <t>SS6
Spec Generator</t>
        </is>
      </c>
      <c r="C10" s="233" t="inlineStr">
        <is>
          <t>IF-32
Spec preview render
Rendered Mermaid artifacts for in-UI review (intake step 3/5 — EC13).</t>
        </is>
      </c>
      <c r="D10" s="234" t="n"/>
      <c r="E10" s="233" t="inlineStr">
        <is>
          <t>IF-12
Spec draft + review signal
Draft spec URI + pending-review flag. Gated on citation check (IF-13/IF-14).</t>
        </is>
      </c>
      <c r="F10" s="234" t="n"/>
      <c r="G10" s="234" t="n"/>
      <c r="H10" s="237" t="inlineStr">
        <is>
          <t>SS6
Spec Generator</t>
        </is>
      </c>
      <c r="I10" s="236" t="inlineStr">
        <is>
          <t>IF-13
Citation check request
Per-claim source lookup batch. Hard floor: every claim must resolve. 100% or emission blocked (EC10).</t>
        </is>
      </c>
      <c r="J10" s="234" t="n"/>
      <c r="K10" s="234" t="n"/>
      <c r="L10" s="234" t="n"/>
      <c r="M10" s="234" t="n"/>
      <c r="N10" s="234" t="n"/>
      <c r="O10" s="234" t="n"/>
      <c r="P10" s="234" t="n"/>
    </row>
    <row r="11" ht="70" customHeight="1">
      <c r="A11" s="226" t="n">
        <v>7</v>
      </c>
      <c r="B11" s="230" t="inlineStr">
        <is>
          <t>SS7
Traceback Store</t>
        </is>
      </c>
      <c r="C11" s="234" t="n"/>
      <c r="D11" s="234" t="n"/>
      <c r="E11" s="234" t="n"/>
      <c r="F11" s="234" t="n"/>
      <c r="G11" s="234" t="n"/>
      <c r="H11" s="236" t="inlineStr">
        <is>
          <t>IF-14
Traced citations
Resolved citations with TTL=24h (EC9); unresolved → spec emission blocked.</t>
        </is>
      </c>
      <c r="I11" s="238" t="inlineStr">
        <is>
          <t>SS7
Traceback Store</t>
        </is>
      </c>
      <c r="J11" s="234" t="n"/>
      <c r="K11" s="234" t="n"/>
      <c r="L11" s="234" t="n"/>
      <c r="M11" s="234" t="n"/>
      <c r="N11" s="236" t="inlineStr">
        <is>
          <t>IF-22
Cited refs for recs
Traced citations (24h TTL).</t>
        </is>
      </c>
      <c r="O11" s="234" t="n"/>
      <c r="P11" s="234" t="n"/>
    </row>
    <row r="12" ht="70" customHeight="1">
      <c r="A12" s="226" t="n">
        <v>8</v>
      </c>
      <c r="B12" s="229" t="inlineStr">
        <is>
          <t>SS8
CLI Bundle Emitter</t>
        </is>
      </c>
      <c r="C12" s="234" t="n"/>
      <c r="D12" s="234" t="n"/>
      <c r="E12" s="233" t="inlineStr">
        <is>
          <t>IF-16
Emit receipt + signature
Bundle signature hash, VCS commit ref, success/failure status. Feeds audit trail (IF-24).</t>
        </is>
      </c>
      <c r="F12" s="234" t="n"/>
      <c r="G12" s="234" t="n"/>
      <c r="H12" s="234" t="n"/>
      <c r="I12" s="234" t="n"/>
      <c r="J12" s="237" t="inlineStr">
        <is>
          <t>SS8
CLI Bundle Emitter</t>
        </is>
      </c>
      <c r="K12" s="234" t="n"/>
      <c r="L12" s="234" t="n"/>
      <c r="M12" s="234" t="n"/>
      <c r="N12" s="234" t="n"/>
      <c r="O12" s="234" t="n"/>
      <c r="P12" s="233" t="inlineStr">
        <is>
          <t>IF-25
CLI emission audit
Bundle id, hash, signer, VCS commit, timestamp.</t>
        </is>
      </c>
    </row>
    <row r="13" ht="70" customHeight="1">
      <c r="A13" s="226" t="n">
        <v>9</v>
      </c>
      <c r="B13" s="231" t="inlineStr">
        <is>
          <t>SS9
Probe SDK</t>
        </is>
      </c>
      <c r="C13" s="234" t="n"/>
      <c r="D13" s="234" t="n"/>
      <c r="E13" s="234" t="n"/>
      <c r="F13" s="234" t="n"/>
      <c r="G13" s="234" t="n"/>
      <c r="H13" s="234" t="n"/>
      <c r="I13" s="234" t="n"/>
      <c r="J13" s="234" t="n"/>
      <c r="K13" s="239" t="inlineStr">
        <is>
          <t>SS9
Probe SDK</t>
        </is>
      </c>
      <c r="L13" s="236" t="inlineStr">
        <is>
          <t>IF-17
Probe payload
Per-probe metric payload. ≤4KB (EC3). ≤6 probes/min (EC1). Batch ≥50 or time-flush after aggregation window (EC4).</t>
        </is>
      </c>
      <c r="M13" s="234" t="n"/>
      <c r="N13" s="234" t="n"/>
      <c r="O13" s="234" t="n"/>
      <c r="P13" s="234" t="n"/>
    </row>
    <row r="14" ht="70" customHeight="1">
      <c r="A14" s="226" t="n">
        <v>10</v>
      </c>
      <c r="B14" s="229" t="inlineStr">
        <is>
          <t>SS10
Metrics Collector</t>
        </is>
      </c>
      <c r="C14" s="234" t="n"/>
      <c r="D14" s="234" t="n"/>
      <c r="E14" s="234" t="n"/>
      <c r="F14" s="234" t="n"/>
      <c r="G14" s="234" t="n"/>
      <c r="H14" s="234" t="n"/>
      <c r="I14" s="234" t="n"/>
      <c r="J14" s="234" t="n"/>
      <c r="K14" s="236" t="inlineStr">
        <is>
          <t>IF-18
Backpressure + config
Reject-on-violation responses, overhead-budget backpressure, collector-side SDK config (probe frequency + batch size).</t>
        </is>
      </c>
      <c r="L14" s="237" t="inlineStr">
        <is>
          <t>SS10
Metrics Collector</t>
        </is>
      </c>
      <c r="M14" s="233" t="inlineStr">
        <is>
          <t>IF-19
Aggregated write
60-minute-window aggregates (EC2) written to time-series store.</t>
        </is>
      </c>
      <c r="N14" s="234" t="n"/>
      <c r="O14" s="234" t="n"/>
      <c r="P14" s="233" t="inlineStr">
        <is>
          <t>IF-26
Probe rejection audit
Overhead-violation rejections logged for compliance evidence (I.EXT.9).</t>
        </is>
      </c>
    </row>
    <row r="15" ht="70" customHeight="1">
      <c r="A15" s="226" t="n">
        <v>11</v>
      </c>
      <c r="B15" s="230" t="inlineStr">
        <is>
          <t>SS11
Metric Store</t>
        </is>
      </c>
      <c r="C15" s="234" t="n"/>
      <c r="D15" s="234" t="n"/>
      <c r="E15" s="234" t="n"/>
      <c r="F15" s="234" t="n"/>
      <c r="G15" s="234" t="n"/>
      <c r="H15" s="234" t="n"/>
      <c r="I15" s="234" t="n"/>
      <c r="J15" s="234" t="n"/>
      <c r="K15" s="234" t="n"/>
      <c r="L15" s="234" t="n"/>
      <c r="M15" s="238" t="inlineStr">
        <is>
          <t>SS11
Metric Store</t>
        </is>
      </c>
      <c r="N15" s="233" t="inlineStr">
        <is>
          <t>IF-20
Metric read + deviation
Query aggregated series for deviation detection. Pull model (not push).</t>
        </is>
      </c>
      <c r="O15" s="234" t="n"/>
      <c r="P15" s="234" t="n"/>
    </row>
    <row r="16" ht="70" customHeight="1">
      <c r="A16" s="226" t="n">
        <v>12</v>
      </c>
      <c r="B16" s="229" t="inlineStr">
        <is>
          <t>SS12
Recommendation Engine</t>
        </is>
      </c>
      <c r="C16" s="234" t="n"/>
      <c r="D16" s="234" t="n"/>
      <c r="E16" s="233" t="inlineStr">
        <is>
          <t>IF-23
Recommendation feed-back
Cited recommendation → next-iteration spec candidate (feedback loop from F.6→F.2).</t>
        </is>
      </c>
      <c r="F16" s="234" t="n"/>
      <c r="G16" s="234" t="n"/>
      <c r="H16" s="234" t="n"/>
      <c r="I16" s="236" t="inlineStr">
        <is>
          <t>IF-21
Citation lookup for recs
Citation resolution for recommendation claims (reuses SS7 cache).</t>
        </is>
      </c>
      <c r="J16" s="234" t="n"/>
      <c r="K16" s="234" t="n"/>
      <c r="L16" s="234" t="n"/>
      <c r="M16" s="234" t="n"/>
      <c r="N16" s="237" t="inlineStr">
        <is>
          <t>SS12
Recommendation Engine</t>
        </is>
      </c>
      <c r="O16" s="234" t="n"/>
      <c r="P16" s="234" t="n"/>
    </row>
    <row r="17" ht="70" customHeight="1">
      <c r="A17" s="226" t="n">
        <v>13</v>
      </c>
      <c r="B17" s="228" t="inlineStr">
        <is>
          <t>SS13
Auth / Credential Vault</t>
        </is>
      </c>
      <c r="C17" s="234" t="n"/>
      <c r="D17" s="236" t="inlineStr">
        <is>
          <t>IF-27
Session token issue
Signed JWT on auth success; mode claim + role claims.</t>
        </is>
      </c>
      <c r="E17" s="234" t="n"/>
      <c r="F17" s="233" t="inlineStr">
        <is>
          <t>IF-29
Provider credentials
Per-provider API keys (Anthropic/OpenAI) + local-mode flag. Vaulted; rotated per EC17.</t>
        </is>
      </c>
      <c r="G17" s="234" t="n"/>
      <c r="H17" s="234" t="n"/>
      <c r="I17" s="234" t="n"/>
      <c r="J17" s="234" t="n"/>
      <c r="K17" s="233" t="inlineStr">
        <is>
          <t>IF-30
Probe credentials
Read-only handles to VCS + Observability (I.EXT.3, I.EXT.4). Write-scope grants rejected (UC11).</t>
        </is>
      </c>
      <c r="L17" s="234" t="n"/>
      <c r="M17" s="234" t="n"/>
      <c r="N17" s="234" t="n"/>
      <c r="O17" s="235" t="inlineStr">
        <is>
          <t>SS13
Auth / Credential Vault</t>
        </is>
      </c>
      <c r="P17" s="234" t="n"/>
    </row>
    <row r="18" ht="70" customHeight="1">
      <c r="A18" s="226" t="n">
        <v>14</v>
      </c>
      <c r="B18" s="230" t="inlineStr">
        <is>
          <t>SS14
Audit Log Store</t>
        </is>
      </c>
      <c r="C18" s="234" t="n"/>
      <c r="D18" s="234" t="n"/>
      <c r="E18" s="234" t="n"/>
      <c r="F18" s="234" t="n"/>
      <c r="G18" s="234" t="n"/>
      <c r="H18" s="234" t="n"/>
      <c r="I18" s="234" t="n"/>
      <c r="J18" s="234" t="n"/>
      <c r="K18" s="234" t="n"/>
      <c r="L18" s="234" t="n"/>
      <c r="M18" s="234" t="n"/>
      <c r="N18" s="234" t="n"/>
      <c r="O18" s="234" t="n"/>
      <c r="P18" s="238" t="inlineStr">
        <is>
          <t>SS14
Audit Log Store</t>
        </is>
      </c>
    </row>
    <row r="19"/>
    <row r="20">
      <c r="A20" s="240" t="inlineStr">
        <is>
          <t>External Interfaces</t>
        </is>
      </c>
    </row>
    <row r="21">
      <c r="A21" s="226" t="inlineStr">
        <is>
          <t>IF-ID</t>
        </is>
      </c>
      <c r="B21" s="226" t="inlineStr">
        <is>
          <t>From</t>
        </is>
      </c>
      <c r="C21" s="226" t="inlineStr">
        <is>
          <t>To</t>
        </is>
      </c>
      <c r="D21" s="226" t="inlineStr">
        <is>
          <t>Data / Signal</t>
        </is>
      </c>
      <c r="E21" s="241" t="n"/>
      <c r="F21" s="241" t="n"/>
      <c r="G21" s="241" t="n"/>
      <c r="H21" s="241" t="n"/>
      <c r="I21" s="241" t="n"/>
      <c r="J21" s="241" t="n"/>
      <c r="K21" s="241" t="n"/>
      <c r="L21" s="241" t="n"/>
      <c r="M21" s="241" t="n"/>
      <c r="N21" s="241" t="n"/>
      <c r="O21" s="241" t="n"/>
      <c r="P21" s="242" t="n"/>
    </row>
    <row r="22" ht="30" customHeight="1">
      <c r="A22" s="243" t="inlineStr">
        <is>
          <t>IF-EXT-01</t>
        </is>
      </c>
      <c r="B22" s="244" t="inlineStr">
        <is>
          <t>Founders / PMs / Engineers / Admins</t>
        </is>
      </c>
      <c r="C22" s="244" t="inlineStr">
        <is>
          <t>SS1</t>
        </is>
      </c>
      <c r="D22" s="245" t="inlineStr">
        <is>
          <t>I.UI.1-4 — bidirectional HTTP/SSE: idea prompts, intake Q&amp;A, spec approvals, recommendation consumption, org/seat provisioning.</t>
        </is>
      </c>
      <c r="E22" s="241" t="n"/>
      <c r="F22" s="241" t="n"/>
      <c r="G22" s="241" t="n"/>
      <c r="H22" s="241" t="n"/>
      <c r="I22" s="241" t="n"/>
      <c r="J22" s="241" t="n"/>
      <c r="K22" s="241" t="n"/>
      <c r="L22" s="241" t="n"/>
      <c r="M22" s="241" t="n"/>
      <c r="N22" s="241" t="n"/>
      <c r="O22" s="241" t="n"/>
      <c r="P22" s="242" t="n"/>
    </row>
    <row r="23" ht="30" customHeight="1">
      <c r="A23" s="243" t="inlineStr">
        <is>
          <t>IF-EXT-02</t>
        </is>
      </c>
      <c r="B23" s="244" t="inlineStr">
        <is>
          <t>Identity Providers</t>
        </is>
      </c>
      <c r="C23" s="244" t="inlineStr">
        <is>
          <t>SS13</t>
        </is>
      </c>
      <c r="D23" s="245" t="inlineStr">
        <is>
          <t>I.EXT.1 — OIDC/SAML inbound-auth. Read-only scope mandatory for customer-system connections.</t>
        </is>
      </c>
      <c r="E23" s="241" t="n"/>
      <c r="F23" s="241" t="n"/>
      <c r="G23" s="241" t="n"/>
      <c r="H23" s="241" t="n"/>
      <c r="I23" s="241" t="n"/>
      <c r="J23" s="241" t="n"/>
      <c r="K23" s="241" t="n"/>
      <c r="L23" s="241" t="n"/>
      <c r="M23" s="241" t="n"/>
      <c r="N23" s="241" t="n"/>
      <c r="O23" s="241" t="n"/>
      <c r="P23" s="242" t="n"/>
    </row>
    <row r="24" ht="30" customHeight="1">
      <c r="A24" s="243" t="inlineStr">
        <is>
          <t>IF-EXT-03</t>
        </is>
      </c>
      <c r="B24" s="244" t="inlineStr">
        <is>
          <t>SS4</t>
        </is>
      </c>
      <c r="C24" s="244" t="inlineStr">
        <is>
          <t>LLM Providers (Anthropic/OpenAI/local)</t>
        </is>
      </c>
      <c r="D24" s="245" t="inlineStr">
        <is>
          <t>I.EXT.2 — HTTPS JSON prompts → completions/embeddings/tool calls. Fallback chain per CC.R07. Local-mode bypass per Privacy Local opt-in.</t>
        </is>
      </c>
      <c r="E24" s="241" t="n"/>
      <c r="F24" s="241" t="n"/>
      <c r="G24" s="241" t="n"/>
      <c r="H24" s="241" t="n"/>
      <c r="I24" s="241" t="n"/>
      <c r="J24" s="241" t="n"/>
      <c r="K24" s="241" t="n"/>
      <c r="L24" s="241" t="n"/>
      <c r="M24" s="241" t="n"/>
      <c r="N24" s="241" t="n"/>
      <c r="O24" s="241" t="n"/>
      <c r="P24" s="242" t="n"/>
    </row>
    <row r="25" ht="30" customHeight="1">
      <c r="A25" s="243" t="inlineStr">
        <is>
          <t>IF-EXT-04</t>
        </is>
      </c>
      <c r="B25" s="244" t="inlineStr">
        <is>
          <t>SS8</t>
        </is>
      </c>
      <c r="C25" s="244" t="inlineStr">
        <is>
          <t>Version Control</t>
        </is>
      </c>
      <c r="D25" s="245" t="inlineStr">
        <is>
          <t>I.EXT.3 (write) / I.EXT.7 — signed artifact commit (SKILL.md + CLAUDE.md + MCP tool defs) to customer VCS.</t>
        </is>
      </c>
      <c r="E25" s="241" t="n"/>
      <c r="F25" s="241" t="n"/>
      <c r="G25" s="241" t="n"/>
      <c r="H25" s="241" t="n"/>
      <c r="I25" s="241" t="n"/>
      <c r="J25" s="241" t="n"/>
      <c r="K25" s="241" t="n"/>
      <c r="L25" s="241" t="n"/>
      <c r="M25" s="241" t="n"/>
      <c r="N25" s="241" t="n"/>
      <c r="O25" s="241" t="n"/>
      <c r="P25" s="242" t="n"/>
    </row>
    <row r="26" ht="30" customHeight="1">
      <c r="A26" s="243" t="inlineStr">
        <is>
          <t>IF-EXT-05</t>
        </is>
      </c>
      <c r="B26" s="244" t="inlineStr">
        <is>
          <t>SS9</t>
        </is>
      </c>
      <c r="C26" s="244" t="inlineStr">
        <is>
          <t>Customer Prod Systems + Observability</t>
        </is>
      </c>
      <c r="D26" s="245" t="inlineStr">
        <is>
          <t>I.EXT.10 + I.EXT.4 — read-only probe handles. MAX_CUSTOMER_SYSTEM_OVERHEAD_PCT=2% enforced via EC1/EC3/EC4.</t>
        </is>
      </c>
      <c r="E26" s="241" t="n"/>
      <c r="F26" s="241" t="n"/>
      <c r="G26" s="241" t="n"/>
      <c r="H26" s="241" t="n"/>
      <c r="I26" s="241" t="n"/>
      <c r="J26" s="241" t="n"/>
      <c r="K26" s="241" t="n"/>
      <c r="L26" s="241" t="n"/>
      <c r="M26" s="241" t="n"/>
      <c r="N26" s="241" t="n"/>
      <c r="O26" s="241" t="n"/>
      <c r="P26" s="242" t="n"/>
    </row>
    <row r="27" ht="30" customHeight="1">
      <c r="A27" s="243" t="inlineStr">
        <is>
          <t>IF-EXT-06</t>
        </is>
      </c>
      <c r="B27" s="244" t="inlineStr">
        <is>
          <t>SS7</t>
        </is>
      </c>
      <c r="C27" s="244" t="inlineStr">
        <is>
          <t>Documentation Sources</t>
        </is>
      </c>
      <c r="D27" s="245" t="inlineStr">
        <is>
          <t>I.EXT.5 — HTTPS+RAG retrieval of vendor specs, RFCs, standards. Refresh cadence 7d (EC11).</t>
        </is>
      </c>
      <c r="E27" s="241" t="n"/>
      <c r="F27" s="241" t="n"/>
      <c r="G27" s="241" t="n"/>
      <c r="H27" s="241" t="n"/>
      <c r="I27" s="241" t="n"/>
      <c r="J27" s="241" t="n"/>
      <c r="K27" s="241" t="n"/>
      <c r="L27" s="241" t="n"/>
      <c r="M27" s="241" t="n"/>
      <c r="N27" s="241" t="n"/>
      <c r="O27" s="241" t="n"/>
      <c r="P27" s="242" t="n"/>
    </row>
    <row r="28" ht="30" customHeight="1">
      <c r="A28" s="243" t="inlineStr">
        <is>
          <t>IF-EXT-07</t>
        </is>
      </c>
      <c r="B28" s="244" t="inlineStr">
        <is>
          <t>SS14</t>
        </is>
      </c>
      <c r="C28" s="244" t="inlineStr">
        <is>
          <t>Compliance Frameworks</t>
        </is>
      </c>
      <c r="D28" s="245" t="inlineStr">
        <is>
          <t>I.EXT.9 — evidence exports (SOC2/HIPAA/GDPR/PCI-DSS). v1 = operational audit; deeper evidence deferred to v2 per M4 D3.</t>
        </is>
      </c>
      <c r="E28" s="241" t="n"/>
      <c r="F28" s="241" t="n"/>
      <c r="G28" s="241" t="n"/>
      <c r="H28" s="241" t="n"/>
      <c r="I28" s="241" t="n"/>
      <c r="J28" s="241" t="n"/>
      <c r="K28" s="241" t="n"/>
      <c r="L28" s="241" t="n"/>
      <c r="M28" s="241" t="n"/>
      <c r="N28" s="241" t="n"/>
      <c r="O28" s="241" t="n"/>
      <c r="P28" s="242" t="n"/>
    </row>
    <row r="29" ht="30" customHeight="1">
      <c r="A29" s="243" t="inlineStr">
        <is>
          <t>IF-EXT-08</t>
        </is>
      </c>
      <c r="B29" s="244" t="inlineStr">
        <is>
          <t>SS8</t>
        </is>
      </c>
      <c r="C29" s="244" t="inlineStr">
        <is>
          <t>CI/CD Systems</t>
        </is>
      </c>
      <c r="D29" s="245" t="inlineStr">
        <is>
          <t>I.EXT.8 — GH Actions / CircleCI hooks: spec as gate + acceptance criteria.</t>
        </is>
      </c>
      <c r="E29" s="241" t="n"/>
      <c r="F29" s="241" t="n"/>
      <c r="G29" s="241" t="n"/>
      <c r="H29" s="241" t="n"/>
      <c r="I29" s="241" t="n"/>
      <c r="J29" s="241" t="n"/>
      <c r="K29" s="241" t="n"/>
      <c r="L29" s="241" t="n"/>
      <c r="M29" s="241" t="n"/>
      <c r="N29" s="241" t="n"/>
      <c r="O29" s="241" t="n"/>
      <c r="P29" s="242" t="n"/>
    </row>
    <row r="30" ht="30" customHeight="1">
      <c r="A30" s="243" t="inlineStr">
        <is>
          <t>IF-EXT-09</t>
        </is>
      </c>
      <c r="B30" s="244" t="inlineStr">
        <is>
          <t>SS4</t>
        </is>
      </c>
      <c r="C30" s="244" t="inlineStr">
        <is>
          <t>Cloud Providers</t>
        </is>
      </c>
      <c r="D30" s="245" t="inlineStr">
        <is>
          <t>I.EXT.6 — vendor APIs (AWS/GCP/Azure) for service catalogs + SLAs (consumed during extraction).</t>
        </is>
      </c>
      <c r="E30" s="241" t="n"/>
      <c r="F30" s="241" t="n"/>
      <c r="G30" s="241" t="n"/>
      <c r="H30" s="241" t="n"/>
      <c r="I30" s="241" t="n"/>
      <c r="J30" s="241" t="n"/>
      <c r="K30" s="241" t="n"/>
      <c r="L30" s="241" t="n"/>
      <c r="M30" s="241" t="n"/>
      <c r="N30" s="241" t="n"/>
      <c r="O30" s="241" t="n"/>
      <c r="P30" s="242" t="n"/>
    </row>
    <row r="31" ht="30" customHeight="1">
      <c r="A31" s="243" t="inlineStr">
        <is>
          <t>IF-EXT-10</t>
        </is>
      </c>
      <c r="B31" s="244" t="inlineStr">
        <is>
          <t>SS8</t>
        </is>
      </c>
      <c r="C31" s="244" t="inlineStr">
        <is>
          <t>IDE / CLI Clients</t>
        </is>
      </c>
      <c r="D31" s="245" t="inlineStr">
        <is>
          <t>I.EXT.7 — signed artifact + receipt delivered to founder's IDE (Claude Code, Cursor, etc.).</t>
        </is>
      </c>
      <c r="E31" s="241" t="n"/>
      <c r="F31" s="241" t="n"/>
      <c r="G31" s="241" t="n"/>
      <c r="H31" s="241" t="n"/>
      <c r="I31" s="241" t="n"/>
      <c r="J31" s="241" t="n"/>
      <c r="K31" s="241" t="n"/>
      <c r="L31" s="241" t="n"/>
      <c r="M31" s="241" t="n"/>
      <c r="N31" s="241" t="n"/>
      <c r="O31" s="241" t="n"/>
      <c r="P31" s="242" t="n"/>
    </row>
  </sheetData>
  <mergeCells count="14">
    <mergeCell ref="D28:P28"/>
    <mergeCell ref="D29:P29"/>
    <mergeCell ref="D27:P27"/>
    <mergeCell ref="D22:P22"/>
    <mergeCell ref="D23:P23"/>
    <mergeCell ref="D31:P31"/>
    <mergeCell ref="A1:P1"/>
    <mergeCell ref="D26:P26"/>
    <mergeCell ref="D21:P21"/>
    <mergeCell ref="D25:P25"/>
    <mergeCell ref="A20:P20"/>
    <mergeCell ref="D30:P30"/>
    <mergeCell ref="D24:P24"/>
    <mergeCell ref="A2:P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28" customWidth="1" min="1" max="1"/>
    <col width="60" customWidth="1" min="2" max="2"/>
    <col width="18" customWidth="1" min="3" max="3"/>
  </cols>
  <sheetData>
    <row r="1">
      <c r="A1" s="246" t="inlineStr">
        <is>
          <t>N2 Chart — Analysis</t>
        </is>
      </c>
    </row>
    <row r="2"/>
    <row r="3">
      <c r="A3" s="240" t="inlineStr">
        <is>
          <t>Critical Subsystems (fan-in or fan-out &gt;= 50% of N-1)</t>
        </is>
      </c>
    </row>
    <row r="4">
      <c r="A4" s="226" t="inlineStr">
        <is>
          <t>Subsystem</t>
        </is>
      </c>
      <c r="B4" s="226" t="inlineStr">
        <is>
          <t>Outputs (provides to)</t>
        </is>
      </c>
      <c r="C4" s="226" t="inlineStr">
        <is>
          <t>Inputs (receives from)</t>
        </is>
      </c>
    </row>
    <row r="5">
      <c r="A5" s="247" t="inlineStr">
        <is>
          <t>SS1 Founder Web UI</t>
        </is>
      </c>
      <c r="B5" s="248" t="inlineStr">
        <is>
          <t>2</t>
        </is>
      </c>
      <c r="C5" s="248" t="inlineStr">
        <is>
          <t>2</t>
        </is>
      </c>
    </row>
    <row r="6">
      <c r="A6" s="249" t="inlineStr">
        <is>
          <t>SS2 Session Manager</t>
        </is>
      </c>
      <c r="B6" s="248" t="inlineStr">
        <is>
          <t>4</t>
        </is>
      </c>
      <c r="C6" s="248" t="inlineStr">
        <is>
          <t>3</t>
        </is>
      </c>
    </row>
    <row r="7">
      <c r="A7" s="250" t="inlineStr">
        <is>
          <t>SS3 Agent Orchestrator</t>
        </is>
      </c>
      <c r="B7" s="248" t="inlineStr">
        <is>
          <t>6</t>
        </is>
      </c>
      <c r="C7" s="248" t="inlineStr">
        <is>
          <t>6</t>
        </is>
      </c>
    </row>
    <row r="8">
      <c r="A8" s="250" t="inlineStr">
        <is>
          <t>SS4 LLM Provider Layer</t>
        </is>
      </c>
      <c r="B8" s="248" t="inlineStr">
        <is>
          <t>1</t>
        </is>
      </c>
      <c r="C8" s="248" t="inlineStr">
        <is>
          <t>4</t>
        </is>
      </c>
    </row>
    <row r="9">
      <c r="A9" s="251" t="inlineStr">
        <is>
          <t>SS5 Prompt Cache</t>
        </is>
      </c>
      <c r="B9" s="248" t="inlineStr">
        <is>
          <t>2</t>
        </is>
      </c>
      <c r="C9" s="248" t="inlineStr">
        <is>
          <t>1</t>
        </is>
      </c>
    </row>
    <row r="10">
      <c r="A10" s="250" t="inlineStr">
        <is>
          <t>SS6 Spec Generator</t>
        </is>
      </c>
      <c r="B10" s="248" t="inlineStr">
        <is>
          <t>3</t>
        </is>
      </c>
      <c r="C10" s="248" t="inlineStr">
        <is>
          <t>3</t>
        </is>
      </c>
    </row>
    <row r="11">
      <c r="A11" s="251" t="inlineStr">
        <is>
          <t>SS7 Traceback Store</t>
        </is>
      </c>
      <c r="B11" s="248" t="inlineStr">
        <is>
          <t>2</t>
        </is>
      </c>
      <c r="C11" s="248" t="inlineStr">
        <is>
          <t>2</t>
        </is>
      </c>
    </row>
    <row r="12">
      <c r="A12" s="250" t="inlineStr">
        <is>
          <t>SS8 CLI Bundle Emitter</t>
        </is>
      </c>
      <c r="B12" s="248" t="inlineStr">
        <is>
          <t>2</t>
        </is>
      </c>
      <c r="C12" s="248" t="inlineStr">
        <is>
          <t>1</t>
        </is>
      </c>
    </row>
    <row r="13">
      <c r="A13" s="252" t="inlineStr">
        <is>
          <t>SS9 Probe SDK</t>
        </is>
      </c>
      <c r="B13" s="248" t="inlineStr">
        <is>
          <t>1</t>
        </is>
      </c>
      <c r="C13" s="248" t="inlineStr">
        <is>
          <t>2</t>
        </is>
      </c>
    </row>
    <row r="14">
      <c r="A14" s="250" t="inlineStr">
        <is>
          <t>SS10 Metrics Collector</t>
        </is>
      </c>
      <c r="B14" s="248" t="inlineStr">
        <is>
          <t>3</t>
        </is>
      </c>
      <c r="C14" s="248" t="inlineStr">
        <is>
          <t>1</t>
        </is>
      </c>
    </row>
    <row r="15">
      <c r="A15" s="251" t="inlineStr">
        <is>
          <t>SS11 Metric Store</t>
        </is>
      </c>
      <c r="B15" s="248" t="inlineStr">
        <is>
          <t>1</t>
        </is>
      </c>
      <c r="C15" s="248" t="inlineStr">
        <is>
          <t>1</t>
        </is>
      </c>
    </row>
    <row r="16">
      <c r="A16" s="250" t="inlineStr">
        <is>
          <t>SS12 Recommendation Engine</t>
        </is>
      </c>
      <c r="B16" s="248" t="inlineStr">
        <is>
          <t>2</t>
        </is>
      </c>
      <c r="C16" s="248" t="inlineStr">
        <is>
          <t>2</t>
        </is>
      </c>
    </row>
    <row r="17">
      <c r="A17" s="249" t="inlineStr">
        <is>
          <t>SS13 Auth / Credential Vault</t>
        </is>
      </c>
      <c r="B17" s="248" t="inlineStr">
        <is>
          <t>3</t>
        </is>
      </c>
      <c r="C17" s="248" t="inlineStr">
        <is>
          <t>1</t>
        </is>
      </c>
    </row>
    <row r="18">
      <c r="A18" s="251" t="inlineStr">
        <is>
          <t>SS14 Audit Log Store</t>
        </is>
      </c>
      <c r="B18" s="248" t="inlineStr">
        <is>
          <t>0</t>
        </is>
      </c>
      <c r="C18" s="248" t="inlineStr">
        <is>
          <t>3</t>
        </is>
      </c>
    </row>
    <row r="19"/>
    <row r="20">
      <c r="A20" s="240" t="inlineStr">
        <is>
          <t>System Flows</t>
        </is>
      </c>
    </row>
    <row r="21" ht="40" customHeight="1">
      <c r="A21" s="253" t="inlineStr">
        <is>
          <t>Founder Intake → Spec → CLI Emission (5-step Quick Start)</t>
        </is>
      </c>
      <c r="B21" s="254" t="inlineStr">
        <is>
          <t>SS1 -&gt; SS2 -&gt; SS3 -&gt; SS6 -&gt; SS3 -&gt; SS8
I.UI.1/I.INT.1/I.INT.2/I.INT.3/I.INT.4 realized end-to-end. Founder enters intake, session dispatches agents, spec drafted, review approved, CLI emitted.</t>
        </is>
      </c>
    </row>
    <row r="22" ht="40" customHeight="1">
      <c r="A22" s="253" t="inlineStr">
        <is>
          <t>Agent LLM Call with Cache</t>
        </is>
      </c>
      <c r="B22" s="254" t="inlineStr">
        <is>
          <t>SS3 -&gt; SS5 -&gt; SS4 -&gt; SS3
Cache lookup (IF-05/06) first; on miss SS5→SS4 cache-assisted call (IF-10) returns via IF-08. Target ≥70% cache hits (EC7).</t>
        </is>
      </c>
    </row>
    <row r="23" ht="40" customHeight="1">
      <c r="A23" s="253" t="inlineStr">
        <is>
          <t>Probe → Aggregation → Store</t>
        </is>
      </c>
      <c r="B23" s="254" t="inlineStr">
        <is>
          <t>SS9 -&gt; SS10 -&gt; SS11
Customer-side probe → collector aggregates at 60-min window → time-series store. Overhead enforcement at SS10 boundary (IF-18).</t>
        </is>
      </c>
    </row>
    <row r="24" ht="40" customHeight="1">
      <c r="A24" s="253" t="inlineStr">
        <is>
          <t>Deviation → Cited Recommendation → Feedback</t>
        </is>
      </c>
      <c r="B24" s="254" t="inlineStr">
        <is>
          <t>SS11 -&gt; SS12 -&gt; SS7 -&gt; SS12 -&gt; SS3
I.INT.6+I.INT.8 realized: deviation detected from aggregates, citations fetched, recommendation fed back to orchestrator for next-iteration spec.</t>
        </is>
      </c>
    </row>
    <row r="25" ht="40" customHeight="1">
      <c r="A25" s="253" t="inlineStr">
        <is>
          <t>Citation-Gated Spec Review</t>
        </is>
      </c>
      <c r="B25" s="254" t="inlineStr">
        <is>
          <t>SS6 -&gt; SS7 -&gt; SS6 -&gt; SS1
IF-13/14 citation check (100% floor) → draft returned to SS6 → rendered to founder (IF-32) for approval.</t>
        </is>
      </c>
    </row>
    <row r="26"/>
    <row r="27">
      <c r="A27" s="240" t="inlineStr">
        <is>
          <t>Control Loops (highlighted yellow on N2 sheet)</t>
        </is>
      </c>
    </row>
    <row r="28" ht="40" customHeight="1">
      <c r="A28" s="255" t="inlineStr">
        <is>
          <t>Agent ↔ Cache ↔ LLM Call Loop</t>
        </is>
      </c>
      <c r="B28" s="254" t="inlineStr">
        <is>
          <t>SS3 -&gt; SS5 -&gt; SS3
Cache lookup → hit returns cached completion OR miss triggers SS4 call. Closed loop on every agent step. High-stakes: governs EC7 (70% hit) and EC8 (8000 tokens).</t>
        </is>
      </c>
    </row>
    <row r="29" ht="40" customHeight="1">
      <c r="A29" s="255" t="inlineStr">
        <is>
          <t>Spec Generation ↔ Traceback Citation Loop</t>
        </is>
      </c>
      <c r="B29" s="254" t="inlineStr">
        <is>
          <t>SS6 -&gt; SS7 -&gt; SS6
Every claim in the spec must resolve to a citation. EC10 hard floor (100%); emission blocked if any claim unresolved. EC9↔EC11 TTL/refresh coordination lives inside SS7.</t>
        </is>
      </c>
    </row>
    <row r="30" ht="40" customHeight="1">
      <c r="A30" s="255" t="inlineStr">
        <is>
          <t>Probe ↔ Collector Backpressure Loop</t>
        </is>
      </c>
      <c r="B30" s="254" t="inlineStr">
        <is>
          <t>SS9 -&gt; SS10 -&gt; SS9
Collector sends backpressure + config updates; SDK self-throttles. Resolves EC1↔EC2 and EC2↔EC4 roof negatives (joint tuning + time-based flush).</t>
        </is>
      </c>
    </row>
    <row r="31" ht="40" customHeight="1">
      <c r="A31" s="255" t="inlineStr">
        <is>
          <t>Recommendation ↔ Traceback Loop</t>
        </is>
      </c>
      <c r="B31" s="254" t="inlineStr">
        <is>
          <t>SS12 -&gt; SS7 -&gt; SS12
Recommendation Engine requests citations, receives cited refs. Every rec claim must resolve in SS7 cache before feeding back to SS3. Part of F.6→F.2 loop from FFBD.</t>
        </is>
      </c>
    </row>
    <row r="32" ht="40" customHeight="1">
      <c r="A32" s="255" t="inlineStr">
        <is>
          <t>Session ↔ Credential Rotation Loop</t>
        </is>
      </c>
      <c r="B32" s="254" t="inlineStr">
        <is>
          <t>SS2 -&gt; SS13 -&gt; SS2
Session Manager requests rotation at 90d cadence (EC17); vault issues new token. Operational hygiene loop.</t>
        </is>
      </c>
    </row>
    <row r="33"/>
    <row r="34">
      <c r="A34" s="240" t="inlineStr">
        <is>
          <t>QFD Endpoint Reconciliation</t>
        </is>
      </c>
    </row>
    <row r="35">
      <c r="A35" s="253" t="inlineStr">
        <is>
          <t>QFD design target</t>
        </is>
      </c>
      <c r="B35" s="256" t="inlineStr">
        <is>
          <t>40</t>
        </is>
      </c>
    </row>
    <row r="36">
      <c r="A36" s="253" t="inlineStr">
        <is>
          <t>Declared in this N2</t>
        </is>
      </c>
      <c r="B36" s="256" t="inlineStr">
        <is>
          <t>56</t>
        </is>
      </c>
    </row>
    <row r="37">
      <c r="A37" s="253" t="inlineStr">
        <is>
          <t>Drift</t>
        </is>
      </c>
      <c r="B37" s="256" t="inlineStr">
        <is>
          <t>+40%  (DRIFT — investigate)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 customWidth="1" min="1" max="1"/>
    <col width="110" customWidth="1" min="2" max="2"/>
  </cols>
  <sheetData>
    <row r="1"/>
    <row r="2"/>
    <row r="3"/>
    <row r="4"/>
    <row r="5">
      <c r="B5" s="246" t="inlineStr">
        <is>
          <t>c1v Dual-Mode Platform — Interface Matrix</t>
        </is>
      </c>
    </row>
    <row r="6">
      <c r="B6" s="225" t="inlineStr">
        <is>
          <t>v1.0  |  2026-04-20</t>
        </is>
      </c>
    </row>
    <row r="7"/>
    <row r="8">
      <c r="B8" s="240" t="inlineStr">
        <is>
          <t>Instructions:</t>
        </is>
      </c>
    </row>
    <row r="9" ht="90" customHeight="1">
      <c r="B9" s="257" t="inlineStr">
        <is>
          <t>This workbook contains one tab per subsystem. Each row records an interface specification owned by that subsystem. `Provided To` columns (left side) mark which other subsystems consume that spec. The Value and Units columns are kept separate to prevent unit-conversion errors. Group headers (column Q) collect related sub-specs (column R). The Row # column auto-increments via Excel formulas. See `08 - Creating the Interface Matrix.md` and `09 - Adding Values and Units.md`.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Founder Web UI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Founder Web UI</t>
        </is>
      </c>
      <c r="AC3" s="259" t="n"/>
    </row>
    <row r="4">
      <c r="A4" s="260" t="n"/>
      <c r="B4" s="261" t="n"/>
      <c r="C4" s="261" t="n"/>
      <c r="D4" s="261" t="n"/>
      <c r="E4" s="261" t="n"/>
      <c r="F4" s="261" t="n"/>
      <c r="G4" s="261" t="n"/>
      <c r="H4" s="261" t="n"/>
      <c r="I4" s="261" t="n"/>
      <c r="J4" s="261" t="n"/>
      <c r="K4" s="261" t="n"/>
      <c r="L4" s="261" t="n"/>
      <c r="M4" s="261" t="n"/>
      <c r="N4" s="261" t="n"/>
      <c r="AA4" s="262" t="n">
        <v>1</v>
      </c>
      <c r="AB4" s="263" t="inlineStr">
        <is>
          <t>IF-02 Session state + UI stream (driven by EC15, EC16 · UI interface · I.UI.1)</t>
        </is>
      </c>
    </row>
    <row r="5">
      <c r="A5" s="260" t="n"/>
      <c r="B5" s="264" t="inlineStr">
        <is>
          <t>Provided To</t>
        </is>
      </c>
      <c r="C5" s="261" t="n"/>
      <c r="D5" s="261" t="n"/>
      <c r="E5" s="261" t="n"/>
      <c r="F5" s="261" t="n"/>
      <c r="G5" s="261" t="n"/>
      <c r="H5" s="261" t="n"/>
      <c r="I5" s="261" t="n"/>
      <c r="J5" s="261" t="n"/>
      <c r="K5" s="261" t="n"/>
      <c r="L5" s="261" t="n"/>
      <c r="M5" s="261" t="n"/>
      <c r="N5" s="261" t="n"/>
      <c r="P5" s="262" t="n">
        <v>50</v>
      </c>
      <c r="Q5" s="262" t="inlineStr">
        <is>
          <t>ms</t>
        </is>
      </c>
      <c r="T5" s="265" t="n">
        <v>46132</v>
      </c>
      <c r="V5" s="262" t="inlineStr">
        <is>
          <t>Founder UX</t>
        </is>
      </c>
      <c r="Y5" s="265" t="n">
        <v>46174</v>
      </c>
      <c r="AA5" s="262">
        <f>AA4+1</f>
        <v/>
      </c>
      <c r="AC5" s="266" t="inlineStr">
        <is>
          <t>Streaming chunk cadence max</t>
        </is>
      </c>
    </row>
    <row r="6">
      <c r="A6" s="260" t="n"/>
      <c r="B6" s="264" t="inlineStr">
        <is>
          <t>Provided To</t>
        </is>
      </c>
      <c r="C6" s="261" t="n"/>
      <c r="D6" s="261" t="n"/>
      <c r="E6" s="261" t="n"/>
      <c r="F6" s="261" t="n"/>
      <c r="G6" s="261" t="n"/>
      <c r="H6" s="261" t="n"/>
      <c r="I6" s="261" t="n"/>
      <c r="J6" s="261" t="n"/>
      <c r="K6" s="261" t="n"/>
      <c r="L6" s="261" t="n"/>
      <c r="M6" s="261" t="n"/>
      <c r="N6" s="261" t="n"/>
      <c r="P6" s="262" t="n">
        <v>2000</v>
      </c>
      <c r="Q6" s="262" t="inlineStr">
        <is>
          <t>ms</t>
        </is>
      </c>
      <c r="T6" s="265" t="n">
        <v>46132</v>
      </c>
      <c r="V6" s="262" t="inlineStr">
        <is>
          <t>Founder UX</t>
        </is>
      </c>
      <c r="Y6" s="265" t="n">
        <v>46174</v>
      </c>
      <c r="AA6" s="262">
        <f>AA5+1</f>
        <v/>
      </c>
      <c r="AC6" s="266" t="inlineStr">
        <is>
          <t>Intake turn budget max</t>
        </is>
      </c>
    </row>
    <row r="7">
      <c r="A7" s="260" t="n"/>
      <c r="B7" s="264" t="inlineStr">
        <is>
          <t>Provided To</t>
        </is>
      </c>
      <c r="C7" s="261" t="n"/>
      <c r="D7" s="261" t="n"/>
      <c r="E7" s="261" t="n"/>
      <c r="F7" s="261" t="n"/>
      <c r="G7" s="261" t="n"/>
      <c r="H7" s="261" t="n"/>
      <c r="I7" s="261" t="n"/>
      <c r="J7" s="261" t="n"/>
      <c r="K7" s="261" t="n"/>
      <c r="L7" s="261" t="n"/>
      <c r="M7" s="261" t="n"/>
      <c r="N7" s="261" t="n"/>
      <c r="P7" s="262" t="n">
        <v>1500</v>
      </c>
      <c r="Q7" s="262" t="inlineStr">
        <is>
          <t>ms</t>
        </is>
      </c>
      <c r="R7" s="262" t="inlineStr">
        <is>
          <t>X</t>
        </is>
      </c>
      <c r="T7" s="265" t="n">
        <v>46132</v>
      </c>
      <c r="V7" s="262" t="inlineStr">
        <is>
          <t>Founder UX</t>
        </is>
      </c>
      <c r="Y7" s="265" t="n">
        <v>46235</v>
      </c>
      <c r="AA7" s="262">
        <f>AA6+1</f>
        <v/>
      </c>
      <c r="AC7" s="266" t="inlineStr">
        <is>
          <t>Intake turn budget stretch</t>
        </is>
      </c>
    </row>
    <row r="8">
      <c r="A8" s="260" t="n"/>
      <c r="B8" s="261" t="n"/>
      <c r="C8" s="261" t="n"/>
      <c r="D8" s="261" t="n"/>
      <c r="E8" s="261" t="n"/>
      <c r="F8" s="261" t="n"/>
      <c r="G8" s="261" t="n"/>
      <c r="H8" s="261" t="n"/>
      <c r="I8" s="261" t="n"/>
      <c r="J8" s="261" t="n"/>
      <c r="K8" s="261" t="n"/>
      <c r="L8" s="261" t="n"/>
      <c r="M8" s="261" t="n"/>
      <c r="N8" s="261" t="n"/>
      <c r="AA8" s="262">
        <f>AA7+1</f>
        <v/>
      </c>
      <c r="AB8" s="263" t="inlineStr">
        <is>
          <t>IF-31 Spec review approvals (driven by EC13 · UI interface · I.INT.3, I.UI.1, I.UI.2)</t>
        </is>
      </c>
    </row>
    <row r="9">
      <c r="A9" s="260" t="n"/>
      <c r="B9" s="261" t="n"/>
      <c r="C9" s="261" t="n"/>
      <c r="D9" s="261" t="n"/>
      <c r="E9" s="261" t="n"/>
      <c r="F9" s="264" t="inlineStr">
        <is>
          <t>Provided To</t>
        </is>
      </c>
      <c r="G9" s="261" t="n"/>
      <c r="H9" s="261" t="n"/>
      <c r="I9" s="261" t="n"/>
      <c r="J9" s="261" t="n"/>
      <c r="K9" s="261" t="n"/>
      <c r="L9" s="261" t="n"/>
      <c r="M9" s="261" t="n"/>
      <c r="N9" s="261" t="n"/>
      <c r="P9" s="262" t="n">
        <v>1</v>
      </c>
      <c r="Q9" s="262" t="inlineStr">
        <is>
          <t>event</t>
        </is>
      </c>
      <c r="T9" s="265" t="n">
        <v>46132</v>
      </c>
      <c r="V9" s="262" t="inlineStr">
        <is>
          <t>Founder UX</t>
        </is>
      </c>
      <c r="Y9" s="265" t="n">
        <v>46174</v>
      </c>
      <c r="AA9" s="262">
        <f>AA8+1</f>
        <v/>
      </c>
      <c r="AC9" s="266" t="inlineStr">
        <is>
          <t>Approval event count per spec</t>
        </is>
      </c>
    </row>
    <row r="10">
      <c r="A10" s="260" t="n"/>
      <c r="B10" s="261" t="n"/>
      <c r="C10" s="261" t="n"/>
      <c r="D10" s="261" t="n"/>
      <c r="E10" s="261" t="n"/>
      <c r="F10" s="264" t="inlineStr">
        <is>
          <t>Provided To</t>
        </is>
      </c>
      <c r="G10" s="261" t="n"/>
      <c r="H10" s="261" t="n"/>
      <c r="I10" s="261" t="n"/>
      <c r="J10" s="261" t="n"/>
      <c r="K10" s="261" t="n"/>
      <c r="L10" s="261" t="n"/>
      <c r="M10" s="261" t="n"/>
      <c r="N10" s="261" t="n"/>
      <c r="P10" s="262" t="n">
        <v>5</v>
      </c>
      <c r="Q10" s="262" t="inlineStr">
        <is>
          <t>count</t>
        </is>
      </c>
      <c r="R10" s="262" t="inlineStr">
        <is>
          <t>X</t>
        </is>
      </c>
      <c r="T10" s="265" t="n">
        <v>46132</v>
      </c>
      <c r="V10" s="262" t="inlineStr">
        <is>
          <t>Founder UX</t>
        </is>
      </c>
      <c r="Y10" s="265" t="n">
        <v>46218</v>
      </c>
      <c r="AA10" s="262">
        <f>AA9+1</f>
        <v/>
      </c>
      <c r="AC10" s="266" t="inlineStr">
        <is>
          <t>Edit round trips per spec max</t>
        </is>
      </c>
    </row>
  </sheetData>
  <mergeCells count="1">
    <mergeCell ref="A1:AC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C13"/>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Session Manager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Session Manager</t>
        </is>
      </c>
      <c r="AC3" s="259" t="n"/>
    </row>
    <row r="4">
      <c r="A4" s="261" t="n"/>
      <c r="B4" s="260" t="n"/>
      <c r="C4" s="261" t="n"/>
      <c r="D4" s="261" t="n"/>
      <c r="E4" s="261" t="n"/>
      <c r="F4" s="261" t="n"/>
      <c r="G4" s="261" t="n"/>
      <c r="H4" s="261" t="n"/>
      <c r="I4" s="261" t="n"/>
      <c r="J4" s="261" t="n"/>
      <c r="K4" s="261" t="n"/>
      <c r="L4" s="261" t="n"/>
      <c r="M4" s="261" t="n"/>
      <c r="N4" s="261" t="n"/>
      <c r="AA4" s="262" t="n">
        <v>1</v>
      </c>
      <c r="AB4" s="263" t="inlineStr">
        <is>
          <t>IF-01 Founder auth + mode select (driven by EC15 · operational · I.INT.1, I.UI.1)</t>
        </is>
      </c>
    </row>
    <row r="5">
      <c r="A5" s="264" t="inlineStr">
        <is>
          <t>Provided To</t>
        </is>
      </c>
      <c r="B5" s="260" t="n"/>
      <c r="C5" s="264" t="inlineStr">
        <is>
          <t>Provided To</t>
        </is>
      </c>
      <c r="D5" s="264" t="inlineStr">
        <is>
          <t>Provided To</t>
        </is>
      </c>
      <c r="E5" s="261" t="n"/>
      <c r="F5" s="261" t="n"/>
      <c r="G5" s="261" t="n"/>
      <c r="H5" s="261" t="n"/>
      <c r="I5" s="261" t="n"/>
      <c r="J5" s="261" t="n"/>
      <c r="K5" s="261" t="n"/>
      <c r="L5" s="261" t="n"/>
      <c r="M5" s="261" t="n"/>
      <c r="N5" s="261" t="n"/>
      <c r="P5" s="266" t="inlineStr">
        <is>
          <t>{cloud, local} · default=cloud</t>
        </is>
      </c>
      <c r="Q5" s="262" t="inlineStr">
        <is>
          <t>enum</t>
        </is>
      </c>
      <c r="T5" s="265" t="n">
        <v>46132</v>
      </c>
      <c r="V5" s="262" t="inlineStr">
        <is>
          <t>Sec Team</t>
        </is>
      </c>
      <c r="Y5" s="265" t="n">
        <v>46174</v>
      </c>
      <c r="AA5" s="262">
        <f>AA4+1</f>
        <v/>
      </c>
      <c r="AC5" s="266" t="inlineStr">
        <is>
          <t>Mode values (pinned default)</t>
        </is>
      </c>
    </row>
    <row r="6">
      <c r="A6" s="264" t="inlineStr">
        <is>
          <t>Provided To</t>
        </is>
      </c>
      <c r="B6" s="260" t="n"/>
      <c r="C6" s="261" t="n"/>
      <c r="D6" s="261" t="n"/>
      <c r="E6" s="261" t="n"/>
      <c r="F6" s="261" t="n"/>
      <c r="G6" s="261" t="n"/>
      <c r="H6" s="261" t="n"/>
      <c r="I6" s="261" t="n"/>
      <c r="J6" s="261" t="n"/>
      <c r="K6" s="261" t="n"/>
      <c r="L6" s="261" t="n"/>
      <c r="M6" s="261" t="n"/>
      <c r="N6" s="261" t="n"/>
      <c r="P6" s="262" t="n">
        <v>2</v>
      </c>
      <c r="Q6" s="262" t="inlineStr">
        <is>
          <t>KB</t>
        </is>
      </c>
      <c r="T6" s="265" t="n">
        <v>46132</v>
      </c>
      <c r="V6" s="262" t="inlineStr">
        <is>
          <t>Sec Team</t>
        </is>
      </c>
      <c r="Y6" s="265" t="n">
        <v>46174</v>
      </c>
      <c r="AA6" s="262">
        <f>AA5+1</f>
        <v/>
      </c>
      <c r="AC6" s="266" t="inlineStr">
        <is>
          <t>Auth payload size max</t>
        </is>
      </c>
    </row>
    <row r="7">
      <c r="A7" s="261" t="n"/>
      <c r="B7" s="260" t="n"/>
      <c r="C7" s="261" t="n"/>
      <c r="D7" s="261" t="n"/>
      <c r="E7" s="261" t="n"/>
      <c r="F7" s="261" t="n"/>
      <c r="G7" s="261" t="n"/>
      <c r="H7" s="261" t="n"/>
      <c r="I7" s="261" t="n"/>
      <c r="J7" s="261" t="n"/>
      <c r="K7" s="261" t="n"/>
      <c r="L7" s="261" t="n"/>
      <c r="M7" s="261" t="n"/>
      <c r="N7" s="261" t="n"/>
      <c r="AA7" s="262">
        <f>AA6+1</f>
        <v/>
      </c>
      <c r="AB7" s="263" t="inlineStr">
        <is>
          <t>IF-03 Dispatch request (driven by EC5, EC6, EC8 · operational · roof EC5↔EC6)</t>
        </is>
      </c>
    </row>
    <row r="8">
      <c r="A8" s="261" t="n"/>
      <c r="B8" s="260" t="n"/>
      <c r="C8" s="264" t="inlineStr">
        <is>
          <t>Provided To</t>
        </is>
      </c>
      <c r="D8" s="261" t="n"/>
      <c r="E8" s="261" t="n"/>
      <c r="F8" s="261" t="n"/>
      <c r="G8" s="261" t="n"/>
      <c r="H8" s="261" t="n"/>
      <c r="I8" s="261" t="n"/>
      <c r="J8" s="261" t="n"/>
      <c r="K8" s="261" t="n"/>
      <c r="L8" s="261" t="n"/>
      <c r="M8" s="261" t="n"/>
      <c r="N8" s="261" t="n"/>
      <c r="P8" s="266" t="inlineStr">
        <is>
          <t>Mode MUST be locked before dispatch</t>
        </is>
      </c>
      <c r="Q8" s="262" t="inlineStr">
        <is>
          <t>invariant</t>
        </is>
      </c>
      <c r="T8" s="265" t="n">
        <v>46132</v>
      </c>
      <c r="V8" s="262" t="inlineStr">
        <is>
          <t>Orch Team</t>
        </is>
      </c>
      <c r="Y8" s="265" t="n">
        <v>46174</v>
      </c>
      <c r="AA8" s="262">
        <f>AA7+1</f>
        <v/>
      </c>
      <c r="AC8" s="266" t="inlineStr">
        <is>
          <t>Mode-lock precedence rule</t>
        </is>
      </c>
    </row>
    <row r="9">
      <c r="A9" s="261" t="n"/>
      <c r="B9" s="260" t="n"/>
      <c r="C9" s="264" t="inlineStr">
        <is>
          <t>Provided To</t>
        </is>
      </c>
      <c r="D9" s="261" t="n"/>
      <c r="E9" s="261" t="n"/>
      <c r="F9" s="261" t="n"/>
      <c r="G9" s="261" t="n"/>
      <c r="H9" s="261" t="n"/>
      <c r="I9" s="261" t="n"/>
      <c r="J9" s="261" t="n"/>
      <c r="K9" s="261" t="n"/>
      <c r="L9" s="261" t="n"/>
      <c r="M9" s="261" t="n"/>
      <c r="N9" s="261" t="n"/>
      <c r="P9" s="262" t="n">
        <v>200</v>
      </c>
      <c r="Q9" s="262" t="inlineStr">
        <is>
          <t>ms</t>
        </is>
      </c>
      <c r="R9" s="262" t="inlineStr">
        <is>
          <t>X</t>
        </is>
      </c>
      <c r="T9" s="265" t="n">
        <v>46132</v>
      </c>
      <c r="V9" s="262" t="inlineStr">
        <is>
          <t>Orch Team</t>
        </is>
      </c>
      <c r="Y9" s="265" t="n">
        <v>46218</v>
      </c>
      <c r="AA9" s="262">
        <f>AA8+1</f>
        <v/>
      </c>
      <c r="AC9" s="266" t="inlineStr">
        <is>
          <t>Dispatch latency max</t>
        </is>
      </c>
    </row>
    <row r="10">
      <c r="A10" s="261" t="n"/>
      <c r="B10" s="260" t="n"/>
      <c r="C10" s="261" t="n"/>
      <c r="D10" s="261" t="n"/>
      <c r="E10" s="261" t="n"/>
      <c r="F10" s="261" t="n"/>
      <c r="G10" s="261" t="n"/>
      <c r="H10" s="261" t="n"/>
      <c r="I10" s="261" t="n"/>
      <c r="J10" s="261" t="n"/>
      <c r="K10" s="261" t="n"/>
      <c r="L10" s="261" t="n"/>
      <c r="M10" s="261" t="n"/>
      <c r="N10" s="261" t="n"/>
      <c r="AA10" s="262">
        <f>AA9+1</f>
        <v/>
      </c>
      <c r="AB10" s="263" t="inlineStr">
        <is>
          <t>IF-09 Routing policy write (driven by EC5 · internal)</t>
        </is>
      </c>
    </row>
    <row r="11">
      <c r="A11" s="261" t="n"/>
      <c r="B11" s="260" t="n"/>
      <c r="C11" s="261" t="n"/>
      <c r="D11" s="264" t="inlineStr">
        <is>
          <t>Provided To</t>
        </is>
      </c>
      <c r="E11" s="261" t="n"/>
      <c r="F11" s="261" t="n"/>
      <c r="G11" s="261" t="n"/>
      <c r="H11" s="261" t="n"/>
      <c r="I11" s="261" t="n"/>
      <c r="J11" s="261" t="n"/>
      <c r="K11" s="261" t="n"/>
      <c r="L11" s="261" t="n"/>
      <c r="M11" s="261" t="n"/>
      <c r="N11" s="261" t="n"/>
      <c r="P11" s="262" t="n">
        <v>2</v>
      </c>
      <c r="Q11" s="262" t="inlineStr">
        <is>
          <t>scale (1-3, per-session)</t>
        </is>
      </c>
      <c r="T11" s="265" t="n">
        <v>46132</v>
      </c>
      <c r="V11" s="262" t="inlineStr">
        <is>
          <t>Orch Team</t>
        </is>
      </c>
      <c r="Y11" s="265" t="n">
        <v>46174</v>
      </c>
      <c r="AA11" s="262">
        <f>AA10+1</f>
        <v/>
      </c>
      <c r="AC11" s="266" t="inlineStr">
        <is>
          <t>Routing granularity scale</t>
        </is>
      </c>
    </row>
    <row r="12">
      <c r="A12" s="261" t="n"/>
      <c r="B12" s="260" t="n"/>
      <c r="C12" s="261" t="n"/>
      <c r="D12" s="261" t="n"/>
      <c r="E12" s="261" t="n"/>
      <c r="F12" s="261" t="n"/>
      <c r="G12" s="261" t="n"/>
      <c r="H12" s="261" t="n"/>
      <c r="I12" s="261" t="n"/>
      <c r="J12" s="261" t="n"/>
      <c r="K12" s="261" t="n"/>
      <c r="L12" s="261" t="n"/>
      <c r="M12" s="261" t="n"/>
      <c r="N12" s="261" t="n"/>
      <c r="AA12" s="262">
        <f>AA11+1</f>
        <v/>
      </c>
      <c r="AB12" s="263" t="inlineStr">
        <is>
          <t>IF-28 Token refresh / rotate (driven by EC17 · operational · I.INT.1)</t>
        </is>
      </c>
    </row>
    <row r="13">
      <c r="A13" s="261" t="n"/>
      <c r="B13" s="260" t="n"/>
      <c r="C13" s="261" t="n"/>
      <c r="D13" s="261" t="n"/>
      <c r="E13" s="261" t="n"/>
      <c r="F13" s="261" t="n"/>
      <c r="G13" s="261" t="n"/>
      <c r="H13" s="261" t="n"/>
      <c r="I13" s="261" t="n"/>
      <c r="J13" s="261" t="n"/>
      <c r="K13" s="261" t="n"/>
      <c r="L13" s="261" t="n"/>
      <c r="M13" s="264" t="inlineStr">
        <is>
          <t>Provided To</t>
        </is>
      </c>
      <c r="N13" s="261" t="n"/>
      <c r="P13" s="262" t="n">
        <v>90</v>
      </c>
      <c r="Q13" s="262" t="inlineStr">
        <is>
          <t>days</t>
        </is>
      </c>
      <c r="R13" s="262" t="inlineStr">
        <is>
          <t>X</t>
        </is>
      </c>
      <c r="T13" s="265" t="n">
        <v>46132</v>
      </c>
      <c r="V13" s="262" t="inlineStr">
        <is>
          <t>Sec Team</t>
        </is>
      </c>
      <c r="Y13" s="265" t="n">
        <v>46218</v>
      </c>
      <c r="AA13" s="262">
        <f>AA12+1</f>
        <v/>
      </c>
      <c r="AC13" s="266" t="inlineStr">
        <is>
          <t>Credential rotation cadence</t>
        </is>
      </c>
    </row>
  </sheetData>
  <mergeCells count="1">
    <mergeCell ref="A1:AC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C18"/>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Agent Orchestrator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Agent Orchestrator</t>
        </is>
      </c>
      <c r="AC3" s="259" t="n"/>
    </row>
    <row r="4">
      <c r="A4" s="261" t="n"/>
      <c r="B4" s="261" t="n"/>
      <c r="C4" s="260" t="n"/>
      <c r="D4" s="261" t="n"/>
      <c r="E4" s="261" t="n"/>
      <c r="F4" s="261" t="n"/>
      <c r="G4" s="261" t="n"/>
      <c r="H4" s="261" t="n"/>
      <c r="I4" s="261" t="n"/>
      <c r="J4" s="261" t="n"/>
      <c r="K4" s="261" t="n"/>
      <c r="L4" s="261" t="n"/>
      <c r="M4" s="261" t="n"/>
      <c r="N4" s="261" t="n"/>
      <c r="AA4" s="262" t="n">
        <v>1</v>
      </c>
      <c r="AB4" s="263" t="inlineStr">
        <is>
          <t>IF-04 Agent run state (driven by EC6, EC8 · operational · I.INT.1)</t>
        </is>
      </c>
    </row>
    <row r="5">
      <c r="A5" s="261" t="n"/>
      <c r="B5" s="264" t="inlineStr">
        <is>
          <t>Provided To</t>
        </is>
      </c>
      <c r="C5" s="260" t="n"/>
      <c r="D5" s="261" t="n"/>
      <c r="E5" s="261" t="n"/>
      <c r="F5" s="261" t="n"/>
      <c r="G5" s="261" t="n"/>
      <c r="H5" s="261" t="n"/>
      <c r="I5" s="261" t="n"/>
      <c r="J5" s="261" t="n"/>
      <c r="K5" s="261" t="n"/>
      <c r="L5" s="261" t="n"/>
      <c r="M5" s="261" t="n"/>
      <c r="N5" s="261" t="n"/>
      <c r="P5" s="262" t="n">
        <v>5</v>
      </c>
      <c r="Q5" s="262" t="inlineStr">
        <is>
          <t>agents/session</t>
        </is>
      </c>
      <c r="T5" s="265" t="n">
        <v>46132</v>
      </c>
      <c r="V5" s="262" t="inlineStr">
        <is>
          <t>Orch Team</t>
        </is>
      </c>
      <c r="Y5" s="265" t="n">
        <v>46174</v>
      </c>
      <c r="AA5" s="262">
        <f>AA4+1</f>
        <v/>
      </c>
      <c r="AC5" s="266" t="inlineStr">
        <is>
          <t>Parallel agent dispatch max</t>
        </is>
      </c>
    </row>
    <row r="6">
      <c r="A6" s="261" t="n"/>
      <c r="B6" s="264" t="inlineStr">
        <is>
          <t>Provided To</t>
        </is>
      </c>
      <c r="C6" s="260" t="n"/>
      <c r="D6" s="264" t="inlineStr">
        <is>
          <t>Provided To</t>
        </is>
      </c>
      <c r="E6" s="264" t="inlineStr">
        <is>
          <t>Provided To</t>
        </is>
      </c>
      <c r="F6" s="261" t="n"/>
      <c r="G6" s="261" t="n"/>
      <c r="H6" s="261" t="n"/>
      <c r="I6" s="261" t="n"/>
      <c r="J6" s="261" t="n"/>
      <c r="K6" s="261" t="n"/>
      <c r="L6" s="261" t="n"/>
      <c r="M6" s="261" t="n"/>
      <c r="N6" s="261" t="n"/>
      <c r="P6" s="262" t="n">
        <v>8000</v>
      </c>
      <c r="Q6" s="262" t="inlineStr">
        <is>
          <t>tokens/call</t>
        </is>
      </c>
      <c r="T6" s="265" t="n">
        <v>46132</v>
      </c>
      <c r="V6" s="262" t="inlineStr">
        <is>
          <t>LLM Arch</t>
        </is>
      </c>
      <c r="Y6" s="265" t="n">
        <v>46174</v>
      </c>
      <c r="AA6" s="262">
        <f>AA5+1</f>
        <v/>
      </c>
      <c r="AC6" s="266" t="inlineStr">
        <is>
          <t>Agent context tokens max</t>
        </is>
      </c>
    </row>
    <row r="7">
      <c r="A7" s="261" t="n"/>
      <c r="B7" s="261" t="n"/>
      <c r="C7" s="260" t="n"/>
      <c r="D7" s="261" t="n"/>
      <c r="E7" s="261" t="n"/>
      <c r="F7" s="261" t="n"/>
      <c r="G7" s="261" t="n"/>
      <c r="H7" s="261" t="n"/>
      <c r="I7" s="261" t="n"/>
      <c r="J7" s="261" t="n"/>
      <c r="K7" s="261" t="n"/>
      <c r="L7" s="261" t="n"/>
      <c r="M7" s="261" t="n"/>
      <c r="N7" s="261" t="n"/>
      <c r="AA7" s="262">
        <f>AA6+1</f>
        <v/>
      </c>
      <c r="AB7" s="263" t="inlineStr">
        <is>
          <t>IF-05 Cache lookup (driven by EC7 · operational)</t>
        </is>
      </c>
    </row>
    <row r="8">
      <c r="A8" s="261" t="n"/>
      <c r="B8" s="261" t="n"/>
      <c r="C8" s="260" t="n"/>
      <c r="D8" s="261" t="n"/>
      <c r="E8" s="264" t="inlineStr">
        <is>
          <t>Provided To</t>
        </is>
      </c>
      <c r="F8" s="261" t="n"/>
      <c r="G8" s="261" t="n"/>
      <c r="H8" s="261" t="n"/>
      <c r="I8" s="261" t="n"/>
      <c r="J8" s="261" t="n"/>
      <c r="K8" s="261" t="n"/>
      <c r="L8" s="261" t="n"/>
      <c r="M8" s="261" t="n"/>
      <c r="N8" s="261" t="n"/>
      <c r="P8" s="262" t="n">
        <v>70</v>
      </c>
      <c r="Q8" s="262" t="inlineStr">
        <is>
          <t>pct (rolling 24h)</t>
        </is>
      </c>
      <c r="T8" s="265" t="n">
        <v>46132</v>
      </c>
      <c r="V8" s="262" t="inlineStr">
        <is>
          <t>LLM Arch</t>
        </is>
      </c>
      <c r="Y8" s="265" t="n">
        <v>46218</v>
      </c>
      <c r="AA8" s="262">
        <f>AA7+1</f>
        <v/>
      </c>
      <c r="AC8" s="266" t="inlineStr">
        <is>
          <t>Cache hit target</t>
        </is>
      </c>
    </row>
    <row r="9">
      <c r="A9" s="261" t="n"/>
      <c r="B9" s="261" t="n"/>
      <c r="C9" s="260" t="n"/>
      <c r="D9" s="261" t="n"/>
      <c r="E9" s="261" t="n"/>
      <c r="F9" s="261" t="n"/>
      <c r="G9" s="261" t="n"/>
      <c r="H9" s="261" t="n"/>
      <c r="I9" s="261" t="n"/>
      <c r="J9" s="261" t="n"/>
      <c r="K9" s="261" t="n"/>
      <c r="L9" s="261" t="n"/>
      <c r="M9" s="261" t="n"/>
      <c r="N9" s="261" t="n"/>
      <c r="AA9" s="262">
        <f>AA8+1</f>
        <v/>
      </c>
      <c r="AB9" s="263" t="inlineStr">
        <is>
          <t>IF-07 LLM call (driven by EC8, EC5 · operational · I.EXT.2)</t>
        </is>
      </c>
    </row>
    <row r="10">
      <c r="A10" s="261" t="n"/>
      <c r="B10" s="261" t="n"/>
      <c r="C10" s="260" t="n"/>
      <c r="D10" s="264" t="inlineStr">
        <is>
          <t>Provided To</t>
        </is>
      </c>
      <c r="E10" s="261" t="n"/>
      <c r="F10" s="261" t="n"/>
      <c r="G10" s="261" t="n"/>
      <c r="H10" s="261" t="n"/>
      <c r="I10" s="261" t="n"/>
      <c r="J10" s="261" t="n"/>
      <c r="K10" s="261" t="n"/>
      <c r="L10" s="261" t="n"/>
      <c r="M10" s="261" t="n"/>
      <c r="N10" s="261" t="n"/>
      <c r="P10" s="262" t="n">
        <v>30</v>
      </c>
      <c r="Q10" s="262" t="inlineStr">
        <is>
          <t>s</t>
        </is>
      </c>
      <c r="R10" s="262" t="inlineStr">
        <is>
          <t>X</t>
        </is>
      </c>
      <c r="T10" s="265" t="n">
        <v>46132</v>
      </c>
      <c r="V10" s="262" t="inlineStr">
        <is>
          <t>LLM Arch</t>
        </is>
      </c>
      <c r="Y10" s="265" t="n">
        <v>46218</v>
      </c>
      <c r="AA10" s="262">
        <f>AA9+1</f>
        <v/>
      </c>
      <c r="AC10" s="266" t="inlineStr">
        <is>
          <t>Timeout per call</t>
        </is>
      </c>
    </row>
    <row r="11">
      <c r="A11" s="261" t="n"/>
      <c r="B11" s="261" t="n"/>
      <c r="C11" s="260" t="n"/>
      <c r="D11" s="264" t="inlineStr">
        <is>
          <t>Provided To</t>
        </is>
      </c>
      <c r="E11" s="261" t="n"/>
      <c r="F11" s="261" t="n"/>
      <c r="G11" s="261" t="n"/>
      <c r="H11" s="261" t="n"/>
      <c r="I11" s="261" t="n"/>
      <c r="J11" s="261" t="n"/>
      <c r="K11" s="261" t="n"/>
      <c r="L11" s="261" t="n"/>
      <c r="M11" s="261" t="n"/>
      <c r="N11" s="261" t="n"/>
      <c r="P11" s="262" t="n">
        <v>2</v>
      </c>
      <c r="Q11" s="262" t="inlineStr">
        <is>
          <t>retries</t>
        </is>
      </c>
      <c r="R11" s="262" t="inlineStr">
        <is>
          <t>X</t>
        </is>
      </c>
      <c r="T11" s="265" t="n">
        <v>46132</v>
      </c>
      <c r="V11" s="262" t="inlineStr">
        <is>
          <t>LLM Arch</t>
        </is>
      </c>
      <c r="Y11" s="265" t="n">
        <v>46218</v>
      </c>
      <c r="AA11" s="262">
        <f>AA10+1</f>
        <v/>
      </c>
      <c r="AC11" s="266" t="inlineStr">
        <is>
          <t>Retry budget per call</t>
        </is>
      </c>
    </row>
    <row r="12">
      <c r="A12" s="261" t="n"/>
      <c r="B12" s="261" t="n"/>
      <c r="C12" s="260" t="n"/>
      <c r="D12" s="261" t="n"/>
      <c r="E12" s="261" t="n"/>
      <c r="F12" s="261" t="n"/>
      <c r="G12" s="261" t="n"/>
      <c r="H12" s="261" t="n"/>
      <c r="I12" s="261" t="n"/>
      <c r="J12" s="261" t="n"/>
      <c r="K12" s="261" t="n"/>
      <c r="L12" s="261" t="n"/>
      <c r="M12" s="261" t="n"/>
      <c r="N12" s="261" t="n"/>
      <c r="AA12" s="262">
        <f>AA11+1</f>
        <v/>
      </c>
      <c r="AB12" s="263" t="inlineStr">
        <is>
          <t>IF-11 Generate spec request (driven by EC12, EC13 · operational · I.INT.2)</t>
        </is>
      </c>
    </row>
    <row r="13">
      <c r="A13" s="261" t="n"/>
      <c r="B13" s="261" t="n"/>
      <c r="C13" s="260" t="n"/>
      <c r="D13" s="261" t="n"/>
      <c r="E13" s="261" t="n"/>
      <c r="F13" s="264" t="inlineStr">
        <is>
          <t>Provided To</t>
        </is>
      </c>
      <c r="G13" s="261" t="n"/>
      <c r="H13" s="261" t="n"/>
      <c r="I13" s="261" t="n"/>
      <c r="J13" s="261" t="n"/>
      <c r="K13" s="261" t="n"/>
      <c r="L13" s="261" t="n"/>
      <c r="M13" s="261" t="n"/>
      <c r="N13" s="261" t="n"/>
      <c r="P13" s="262" t="n">
        <v>1</v>
      </c>
      <c r="Q13" s="262" t="inlineStr">
        <is>
          <t>format (Mermaid)</t>
        </is>
      </c>
      <c r="T13" s="265" t="n">
        <v>46132</v>
      </c>
      <c r="V13" s="262" t="inlineStr">
        <is>
          <t>Spec Team</t>
        </is>
      </c>
      <c r="Y13" s="265" t="n">
        <v>46174</v>
      </c>
      <c r="AA13" s="262">
        <f>AA12+1</f>
        <v/>
      </c>
      <c r="AC13" s="266" t="inlineStr">
        <is>
          <t>Spec format count v1</t>
        </is>
      </c>
    </row>
    <row r="14">
      <c r="A14" s="264" t="inlineStr">
        <is>
          <t>Provided To</t>
        </is>
      </c>
      <c r="B14" s="261" t="n"/>
      <c r="C14" s="260" t="n"/>
      <c r="D14" s="261" t="n"/>
      <c r="E14" s="261" t="n"/>
      <c r="F14" s="264" t="inlineStr">
        <is>
          <t>Provided To</t>
        </is>
      </c>
      <c r="G14" s="261" t="n"/>
      <c r="H14" s="261" t="n"/>
      <c r="I14" s="261" t="n"/>
      <c r="J14" s="261" t="n"/>
      <c r="K14" s="261" t="n"/>
      <c r="L14" s="261" t="n"/>
      <c r="M14" s="261" t="n"/>
      <c r="N14" s="261" t="n"/>
      <c r="P14" s="262" t="n">
        <v>5</v>
      </c>
      <c r="Q14" s="262" t="inlineStr">
        <is>
          <t>steps</t>
        </is>
      </c>
      <c r="T14" s="265" t="n">
        <v>46132</v>
      </c>
      <c r="V14" s="262" t="inlineStr">
        <is>
          <t>Founder UX</t>
        </is>
      </c>
      <c r="Y14" s="265" t="n">
        <v>46174</v>
      </c>
      <c r="AA14" s="262">
        <f>AA13+1</f>
        <v/>
      </c>
      <c r="AC14" s="266" t="inlineStr">
        <is>
          <t>Quick start step count</t>
        </is>
      </c>
    </row>
    <row r="15">
      <c r="A15" s="261" t="n"/>
      <c r="B15" s="261" t="n"/>
      <c r="C15" s="260" t="n"/>
      <c r="D15" s="261" t="n"/>
      <c r="E15" s="261" t="n"/>
      <c r="F15" s="261" t="n"/>
      <c r="G15" s="261" t="n"/>
      <c r="H15" s="261" t="n"/>
      <c r="I15" s="261" t="n"/>
      <c r="J15" s="261" t="n"/>
      <c r="K15" s="261" t="n"/>
      <c r="L15" s="261" t="n"/>
      <c r="M15" s="261" t="n"/>
      <c r="N15" s="261" t="n"/>
      <c r="AA15" s="262">
        <f>AA14+1</f>
        <v/>
      </c>
      <c r="AB15" s="263" t="inlineStr">
        <is>
          <t>IF-15 Emit CLI bundle (driven by EC14, EC12 · operational · I.INT.3, I.INT.4)</t>
        </is>
      </c>
    </row>
    <row r="16">
      <c r="A16" s="261" t="n"/>
      <c r="B16" s="261" t="n"/>
      <c r="C16" s="260" t="n"/>
      <c r="D16" s="261" t="n"/>
      <c r="E16" s="261" t="n"/>
      <c r="F16" s="261" t="n"/>
      <c r="G16" s="261" t="n"/>
      <c r="H16" s="264" t="inlineStr">
        <is>
          <t>Provided To</t>
        </is>
      </c>
      <c r="I16" s="261" t="n"/>
      <c r="J16" s="261" t="n"/>
      <c r="K16" s="261" t="n"/>
      <c r="L16" s="261" t="n"/>
      <c r="M16" s="261" t="n"/>
      <c r="N16" s="261" t="n"/>
      <c r="P16" s="266" t="inlineStr">
        <is>
          <t>SS7 citation-check MUST PASS before IF-15 fires</t>
        </is>
      </c>
      <c r="Q16" s="262" t="inlineStr">
        <is>
          <t>invariant</t>
        </is>
      </c>
      <c r="T16" s="265" t="n">
        <v>46132</v>
      </c>
      <c r="V16" s="262" t="inlineStr">
        <is>
          <t>Spec Team</t>
        </is>
      </c>
      <c r="Y16" s="265" t="n">
        <v>46174</v>
      </c>
      <c r="AA16" s="262">
        <f>AA15+1</f>
        <v/>
      </c>
      <c r="AC16" s="266" t="inlineStr">
        <is>
          <t>Citation gate precedence</t>
        </is>
      </c>
    </row>
    <row r="17">
      <c r="A17" s="261" t="n"/>
      <c r="B17" s="261" t="n"/>
      <c r="C17" s="260" t="n"/>
      <c r="D17" s="261" t="n"/>
      <c r="E17" s="261" t="n"/>
      <c r="F17" s="261" t="n"/>
      <c r="G17" s="261" t="n"/>
      <c r="H17" s="261" t="n"/>
      <c r="I17" s="261" t="n"/>
      <c r="J17" s="261" t="n"/>
      <c r="K17" s="261" t="n"/>
      <c r="L17" s="261" t="n"/>
      <c r="M17" s="261" t="n"/>
      <c r="N17" s="261" t="n"/>
      <c r="AA17" s="262">
        <f>AA16+1</f>
        <v/>
      </c>
      <c r="AB17" s="263" t="inlineStr">
        <is>
          <t>IF-24 Audit log write (driven by EC18 · operational)</t>
        </is>
      </c>
    </row>
    <row r="18">
      <c r="A18" s="261" t="n"/>
      <c r="B18" s="261" t="n"/>
      <c r="C18" s="260" t="n"/>
      <c r="D18" s="261" t="n"/>
      <c r="E18" s="261" t="n"/>
      <c r="F18" s="261" t="n"/>
      <c r="G18" s="261" t="n"/>
      <c r="H18" s="261" t="n"/>
      <c r="I18" s="261" t="n"/>
      <c r="J18" s="261" t="n"/>
      <c r="K18" s="261" t="n"/>
      <c r="L18" s="261" t="n"/>
      <c r="M18" s="261" t="n"/>
      <c r="N18" s="264" t="inlineStr">
        <is>
          <t>Provided To</t>
        </is>
      </c>
      <c r="P18" s="262" t="n">
        <v>90</v>
      </c>
      <c r="Q18" s="262" t="inlineStr">
        <is>
          <t>days</t>
        </is>
      </c>
      <c r="T18" s="265" t="n">
        <v>46132</v>
      </c>
      <c r="V18" s="262" t="inlineStr">
        <is>
          <t>Sec Team</t>
        </is>
      </c>
      <c r="Y18" s="265" t="n">
        <v>46218</v>
      </c>
      <c r="AA18" s="262">
        <f>AA17+1</f>
        <v/>
      </c>
      <c r="AC18" s="266" t="inlineStr">
        <is>
          <t>Audit retention</t>
        </is>
      </c>
    </row>
  </sheetData>
  <mergeCells count="1">
    <mergeCell ref="A1:AC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C9"/>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LLM Provider Layer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LLM Provider Layer</t>
        </is>
      </c>
      <c r="AC3" s="259" t="n"/>
    </row>
    <row r="4">
      <c r="A4" s="261" t="n"/>
      <c r="B4" s="261" t="n"/>
      <c r="C4" s="261" t="n"/>
      <c r="D4" s="260" t="n"/>
      <c r="E4" s="261" t="n"/>
      <c r="F4" s="261" t="n"/>
      <c r="G4" s="261" t="n"/>
      <c r="H4" s="261" t="n"/>
      <c r="I4" s="261" t="n"/>
      <c r="J4" s="261" t="n"/>
      <c r="K4" s="261" t="n"/>
      <c r="L4" s="261" t="n"/>
      <c r="M4" s="261" t="n"/>
      <c r="N4" s="261" t="n"/>
      <c r="AA4" s="262" t="n">
        <v>1</v>
      </c>
      <c r="AB4" s="263" t="inlineStr">
        <is>
          <t>IF-08 Completion / tool calls (driven by EC8, EC16 · operational · I.EXT.2)</t>
        </is>
      </c>
    </row>
    <row r="5">
      <c r="A5" s="261" t="n"/>
      <c r="B5" s="261" t="n"/>
      <c r="C5" s="264" t="inlineStr">
        <is>
          <t>Provided To</t>
        </is>
      </c>
      <c r="D5" s="260" t="n"/>
      <c r="E5" s="261" t="n"/>
      <c r="F5" s="261" t="n"/>
      <c r="G5" s="261" t="n"/>
      <c r="H5" s="261" t="n"/>
      <c r="I5" s="261" t="n"/>
      <c r="J5" s="261" t="n"/>
      <c r="K5" s="261" t="n"/>
      <c r="L5" s="261" t="n"/>
      <c r="M5" s="261" t="n"/>
      <c r="N5" s="261" t="n"/>
      <c r="P5" s="262" t="n">
        <v>50</v>
      </c>
      <c r="Q5" s="262" t="inlineStr">
        <is>
          <t>ms/chunk</t>
        </is>
      </c>
      <c r="T5" s="265" t="n">
        <v>46132</v>
      </c>
      <c r="V5" s="262" t="inlineStr">
        <is>
          <t>LLM Arch</t>
        </is>
      </c>
      <c r="Y5" s="265" t="n">
        <v>46174</v>
      </c>
      <c r="AA5" s="262">
        <f>AA4+1</f>
        <v/>
      </c>
      <c r="AC5" s="266" t="inlineStr">
        <is>
          <t>Completion streaming cadence max</t>
        </is>
      </c>
    </row>
    <row r="6">
      <c r="A6" s="261" t="n"/>
      <c r="B6" s="261" t="n"/>
      <c r="C6" s="264" t="inlineStr">
        <is>
          <t>Provided To</t>
        </is>
      </c>
      <c r="D6" s="260" t="n"/>
      <c r="E6" s="261" t="n"/>
      <c r="F6" s="261" t="n"/>
      <c r="G6" s="261" t="n"/>
      <c r="H6" s="261" t="n"/>
      <c r="I6" s="261" t="n"/>
      <c r="J6" s="261" t="n"/>
      <c r="K6" s="261" t="n"/>
      <c r="L6" s="261" t="n"/>
      <c r="M6" s="261" t="n"/>
      <c r="N6" s="261" t="n"/>
      <c r="P6" s="262" t="n">
        <v>2</v>
      </c>
      <c r="Q6" s="262" t="inlineStr">
        <is>
          <t>providers</t>
        </is>
      </c>
      <c r="R6" s="262" t="inlineStr">
        <is>
          <t>X</t>
        </is>
      </c>
      <c r="T6" s="265" t="n">
        <v>46132</v>
      </c>
      <c r="V6" s="262" t="inlineStr">
        <is>
          <t>LLM Arch</t>
        </is>
      </c>
      <c r="Y6" s="265" t="n">
        <v>46218</v>
      </c>
      <c r="AA6" s="262">
        <f>AA5+1</f>
        <v/>
      </c>
      <c r="AC6" s="266" t="inlineStr">
        <is>
          <t>Provider fallback chain depth</t>
        </is>
      </c>
    </row>
    <row r="7">
      <c r="A7" s="261" t="n"/>
      <c r="B7" s="261" t="n"/>
      <c r="C7" s="261" t="n"/>
      <c r="D7" s="260" t="n"/>
      <c r="E7" s="261" t="n"/>
      <c r="F7" s="261" t="n"/>
      <c r="G7" s="261" t="n"/>
      <c r="H7" s="261" t="n"/>
      <c r="I7" s="261" t="n"/>
      <c r="J7" s="261" t="n"/>
      <c r="K7" s="261" t="n"/>
      <c r="L7" s="261" t="n"/>
      <c r="M7" s="261" t="n"/>
      <c r="N7" s="261" t="n"/>
      <c r="AA7" s="262">
        <f>AA6+1</f>
        <v/>
      </c>
      <c r="AB7" s="263" t="inlineStr">
        <is>
          <t>IF-EXT-03 LLM Providers (I.EXT.2 · external)</t>
        </is>
      </c>
    </row>
    <row r="8">
      <c r="A8" s="261" t="n"/>
      <c r="B8" s="261" t="n"/>
      <c r="C8" s="264" t="inlineStr">
        <is>
          <t>Provided To</t>
        </is>
      </c>
      <c r="D8" s="260" t="n"/>
      <c r="E8" s="261" t="n"/>
      <c r="F8" s="261" t="n"/>
      <c r="G8" s="261" t="n"/>
      <c r="H8" s="261" t="n"/>
      <c r="I8" s="261" t="n"/>
      <c r="J8" s="261" t="n"/>
      <c r="K8" s="261" t="n"/>
      <c r="L8" s="261" t="n"/>
      <c r="M8" s="261" t="n"/>
      <c r="N8" s="261" t="n"/>
      <c r="P8" s="266" t="inlineStr">
        <is>
          <t>Anthropic, OpenAI</t>
        </is>
      </c>
      <c r="Q8" s="262" t="inlineStr">
        <is>
          <t>list</t>
        </is>
      </c>
      <c r="T8" s="265" t="n">
        <v>46132</v>
      </c>
      <c r="V8" s="262" t="inlineStr">
        <is>
          <t>LLM Arch</t>
        </is>
      </c>
      <c r="Y8" s="265" t="n">
        <v>46174</v>
      </c>
      <c r="AA8" s="262">
        <f>AA7+1</f>
        <v/>
      </c>
      <c r="AC8" s="266" t="inlineStr">
        <is>
          <t>Provider set (cloud mode)</t>
        </is>
      </c>
    </row>
    <row r="9">
      <c r="A9" s="261" t="n"/>
      <c r="B9" s="261" t="n"/>
      <c r="C9" s="264" t="inlineStr">
        <is>
          <t>Provided To</t>
        </is>
      </c>
      <c r="D9" s="260" t="n"/>
      <c r="E9" s="261" t="n"/>
      <c r="F9" s="261" t="n"/>
      <c r="G9" s="261" t="n"/>
      <c r="H9" s="261" t="n"/>
      <c r="I9" s="261" t="n"/>
      <c r="J9" s="261" t="n"/>
      <c r="K9" s="261" t="n"/>
      <c r="L9" s="261" t="n"/>
      <c r="M9" s="261" t="n"/>
      <c r="N9" s="261" t="n"/>
      <c r="P9" s="266" t="inlineStr">
        <is>
          <t>local model endpoint</t>
        </is>
      </c>
      <c r="Q9" s="262" t="inlineStr">
        <is>
          <t>enum</t>
        </is>
      </c>
      <c r="R9" s="262" t="inlineStr">
        <is>
          <t>X</t>
        </is>
      </c>
      <c r="T9" s="265" t="n">
        <v>46132</v>
      </c>
      <c r="V9" s="262" t="inlineStr">
        <is>
          <t>LLM Arch</t>
        </is>
      </c>
      <c r="Y9" s="265" t="n">
        <v>46235</v>
      </c>
      <c r="AA9" s="262">
        <f>AA8+1</f>
        <v/>
      </c>
      <c r="AC9" s="266" t="inlineStr">
        <is>
          <t>Provider set (local mode)</t>
        </is>
      </c>
    </row>
  </sheetData>
  <mergeCells count="1">
    <mergeCell ref="A1:AC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Prompt Cache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Prompt Cache</t>
        </is>
      </c>
      <c r="AC3" s="259" t="n"/>
    </row>
    <row r="4">
      <c r="A4" s="261" t="n"/>
      <c r="B4" s="261" t="n"/>
      <c r="C4" s="261" t="n"/>
      <c r="D4" s="261" t="n"/>
      <c r="E4" s="260" t="n"/>
      <c r="F4" s="261" t="n"/>
      <c r="G4" s="261" t="n"/>
      <c r="H4" s="261" t="n"/>
      <c r="I4" s="261" t="n"/>
      <c r="J4" s="261" t="n"/>
      <c r="K4" s="261" t="n"/>
      <c r="L4" s="261" t="n"/>
      <c r="M4" s="261" t="n"/>
      <c r="N4" s="261" t="n"/>
      <c r="AA4" s="262" t="n">
        <v>1</v>
      </c>
      <c r="AB4" s="263" t="inlineStr">
        <is>
          <t>IF-06 Cache hit/miss response (driven by EC7 · operational)</t>
        </is>
      </c>
    </row>
    <row r="5">
      <c r="A5" s="261" t="n"/>
      <c r="B5" s="261" t="n"/>
      <c r="C5" s="264" t="inlineStr">
        <is>
          <t>Provided To</t>
        </is>
      </c>
      <c r="D5" s="261" t="n"/>
      <c r="E5" s="260" t="n"/>
      <c r="F5" s="261" t="n"/>
      <c r="G5" s="261" t="n"/>
      <c r="H5" s="261" t="n"/>
      <c r="I5" s="261" t="n"/>
      <c r="J5" s="261" t="n"/>
      <c r="K5" s="261" t="n"/>
      <c r="L5" s="261" t="n"/>
      <c r="M5" s="261" t="n"/>
      <c r="N5" s="261" t="n"/>
      <c r="P5" s="262" t="n">
        <v>70</v>
      </c>
      <c r="Q5" s="262" t="inlineStr">
        <is>
          <t>pct (rolling 24h)</t>
        </is>
      </c>
      <c r="T5" s="265" t="n">
        <v>46132</v>
      </c>
      <c r="V5" s="262" t="inlineStr">
        <is>
          <t>LLM Arch</t>
        </is>
      </c>
      <c r="Y5" s="265" t="n">
        <v>46218</v>
      </c>
      <c r="AA5" s="262">
        <f>AA4+1</f>
        <v/>
      </c>
      <c r="AC5" s="266" t="inlineStr">
        <is>
          <t>Cache hit target</t>
        </is>
      </c>
    </row>
    <row r="6">
      <c r="A6" s="261" t="n"/>
      <c r="B6" s="261" t="n"/>
      <c r="C6" s="264" t="inlineStr">
        <is>
          <t>Provided To</t>
        </is>
      </c>
      <c r="D6" s="261" t="n"/>
      <c r="E6" s="260" t="n"/>
      <c r="F6" s="261" t="n"/>
      <c r="G6" s="261" t="n"/>
      <c r="H6" s="261" t="n"/>
      <c r="I6" s="261" t="n"/>
      <c r="J6" s="261" t="n"/>
      <c r="K6" s="261" t="n"/>
      <c r="L6" s="261" t="n"/>
      <c r="M6" s="261" t="n"/>
      <c r="N6" s="261" t="n"/>
      <c r="P6" s="262" t="n">
        <v>20</v>
      </c>
      <c r="Q6" s="262" t="inlineStr">
        <is>
          <t>ms</t>
        </is>
      </c>
      <c r="R6" s="262" t="inlineStr">
        <is>
          <t>X</t>
        </is>
      </c>
      <c r="T6" s="265" t="n">
        <v>46132</v>
      </c>
      <c r="V6" s="262" t="inlineStr">
        <is>
          <t>LLM Arch</t>
        </is>
      </c>
      <c r="Y6" s="265" t="n">
        <v>46218</v>
      </c>
      <c r="AA6" s="262">
        <f>AA5+1</f>
        <v/>
      </c>
      <c r="AC6" s="266" t="inlineStr">
        <is>
          <t>Cache lookup latency max</t>
        </is>
      </c>
    </row>
    <row r="7">
      <c r="A7" s="261" t="n"/>
      <c r="B7" s="261" t="n"/>
      <c r="C7" s="261" t="n"/>
      <c r="D7" s="261" t="n"/>
      <c r="E7" s="260" t="n"/>
      <c r="F7" s="261" t="n"/>
      <c r="G7" s="261" t="n"/>
      <c r="H7" s="261" t="n"/>
      <c r="I7" s="261" t="n"/>
      <c r="J7" s="261" t="n"/>
      <c r="K7" s="261" t="n"/>
      <c r="L7" s="261" t="n"/>
      <c r="M7" s="261" t="n"/>
      <c r="N7" s="261" t="n"/>
      <c r="AA7" s="262">
        <f>AA6+1</f>
        <v/>
      </c>
      <c r="AB7" s="263" t="inlineStr">
        <is>
          <t>IF-10 Cache-assisted call (driven by EC7, EC8 · operational)</t>
        </is>
      </c>
    </row>
    <row r="8">
      <c r="A8" s="261" t="n"/>
      <c r="B8" s="261" t="n"/>
      <c r="C8" s="261" t="n"/>
      <c r="D8" s="264" t="inlineStr">
        <is>
          <t>Provided To</t>
        </is>
      </c>
      <c r="E8" s="260" t="n"/>
      <c r="F8" s="261" t="n"/>
      <c r="G8" s="261" t="n"/>
      <c r="H8" s="261" t="n"/>
      <c r="I8" s="261" t="n"/>
      <c r="J8" s="261" t="n"/>
      <c r="K8" s="261" t="n"/>
      <c r="L8" s="261" t="n"/>
      <c r="M8" s="261" t="n"/>
      <c r="N8" s="261" t="n"/>
      <c r="P8" s="266" t="inlineStr">
        <is>
          <t>1.0</t>
        </is>
      </c>
      <c r="Q8" s="262" t="inlineStr">
        <is>
          <t>semver</t>
        </is>
      </c>
      <c r="R8" s="262" t="inlineStr">
        <is>
          <t>X</t>
        </is>
      </c>
      <c r="T8" s="265" t="n">
        <v>46132</v>
      </c>
      <c r="V8" s="262" t="inlineStr">
        <is>
          <t>LLM Arch</t>
        </is>
      </c>
      <c r="Y8" s="265" t="n">
        <v>46218</v>
      </c>
      <c r="AA8" s="262">
        <f>AA7+1</f>
        <v/>
      </c>
      <c r="AC8" s="266" t="inlineStr">
        <is>
          <t>Prefix-reuse hint schema version</t>
        </is>
      </c>
    </row>
  </sheetData>
  <mergeCells count="1">
    <mergeCell ref="A1:AC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Spec Generator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Spec Generator</t>
        </is>
      </c>
      <c r="AC3" s="259" t="n"/>
    </row>
    <row r="4">
      <c r="A4" s="261" t="n"/>
      <c r="B4" s="261" t="n"/>
      <c r="C4" s="261" t="n"/>
      <c r="D4" s="261" t="n"/>
      <c r="E4" s="261" t="n"/>
      <c r="F4" s="260" t="n"/>
      <c r="G4" s="261" t="n"/>
      <c r="H4" s="261" t="n"/>
      <c r="I4" s="261" t="n"/>
      <c r="J4" s="261" t="n"/>
      <c r="K4" s="261" t="n"/>
      <c r="L4" s="261" t="n"/>
      <c r="M4" s="261" t="n"/>
      <c r="N4" s="261" t="n"/>
      <c r="AA4" s="262" t="n">
        <v>1</v>
      </c>
      <c r="AB4" s="263" t="inlineStr">
        <is>
          <t>IF-12 Spec draft + review signal (driven by EC10, EC12 · operational · I.INT.2, I.INT.3)</t>
        </is>
      </c>
    </row>
    <row r="5">
      <c r="A5" s="261" t="n"/>
      <c r="B5" s="261" t="n"/>
      <c r="C5" s="264" t="inlineStr">
        <is>
          <t>Provided To</t>
        </is>
      </c>
      <c r="D5" s="261" t="n"/>
      <c r="E5" s="261" t="n"/>
      <c r="F5" s="260" t="n"/>
      <c r="G5" s="261" t="n"/>
      <c r="H5" s="261" t="n"/>
      <c r="I5" s="261" t="n"/>
      <c r="J5" s="261" t="n"/>
      <c r="K5" s="261" t="n"/>
      <c r="L5" s="261" t="n"/>
      <c r="M5" s="261" t="n"/>
      <c r="N5" s="261" t="n"/>
      <c r="P5" s="266" t="inlineStr">
        <is>
          <t>s3://c1v-spec/{project}/{rev}.mmd</t>
        </is>
      </c>
      <c r="Q5" s="262" t="inlineStr">
        <is>
          <t>URI</t>
        </is>
      </c>
      <c r="T5" s="265" t="n">
        <v>46132</v>
      </c>
      <c r="V5" s="262" t="inlineStr">
        <is>
          <t>Spec Team</t>
        </is>
      </c>
      <c r="Y5" s="265" t="n">
        <v>46174</v>
      </c>
      <c r="AA5" s="262">
        <f>AA4+1</f>
        <v/>
      </c>
      <c r="AC5" s="266" t="inlineStr">
        <is>
          <t>Draft URI format</t>
        </is>
      </c>
    </row>
    <row r="6">
      <c r="A6" s="261" t="n"/>
      <c r="B6" s="261" t="n"/>
      <c r="C6" s="264" t="inlineStr">
        <is>
          <t>Provided To</t>
        </is>
      </c>
      <c r="D6" s="261" t="n"/>
      <c r="E6" s="261" t="n"/>
      <c r="F6" s="260" t="n"/>
      <c r="G6" s="261" t="n"/>
      <c r="H6" s="261" t="n"/>
      <c r="I6" s="261" t="n"/>
      <c r="J6" s="261" t="n"/>
      <c r="K6" s="261" t="n"/>
      <c r="L6" s="261" t="n"/>
      <c r="M6" s="261" t="n"/>
      <c r="N6" s="261" t="n"/>
      <c r="P6" s="266" t="inlineStr">
        <is>
          <t>boolean (review required)</t>
        </is>
      </c>
      <c r="Q6" s="262" t="inlineStr">
        <is>
          <t>flag</t>
        </is>
      </c>
      <c r="T6" s="265" t="n">
        <v>46132</v>
      </c>
      <c r="V6" s="262" t="inlineStr">
        <is>
          <t>Spec Team</t>
        </is>
      </c>
      <c r="Y6" s="265" t="n">
        <v>46174</v>
      </c>
      <c r="AA6" s="262">
        <f>AA5+1</f>
        <v/>
      </c>
      <c r="AC6" s="266" t="inlineStr">
        <is>
          <t>Pending-review flag</t>
        </is>
      </c>
    </row>
    <row r="7">
      <c r="A7" s="261" t="n"/>
      <c r="B7" s="261" t="n"/>
      <c r="C7" s="261" t="n"/>
      <c r="D7" s="261" t="n"/>
      <c r="E7" s="261" t="n"/>
      <c r="F7" s="260" t="n"/>
      <c r="G7" s="261" t="n"/>
      <c r="H7" s="261" t="n"/>
      <c r="I7" s="261" t="n"/>
      <c r="J7" s="261" t="n"/>
      <c r="K7" s="261" t="n"/>
      <c r="L7" s="261" t="n"/>
      <c r="M7" s="261" t="n"/>
      <c r="N7" s="261" t="n"/>
      <c r="AA7" s="262">
        <f>AA6+1</f>
        <v/>
      </c>
      <c r="AB7" s="263" t="inlineStr">
        <is>
          <t>IF-13 Citation check request (driven by EC10 · operational · I.INT.7, I.EXT.5 · HARD GATE)</t>
        </is>
      </c>
    </row>
    <row r="8">
      <c r="A8" s="261" t="n"/>
      <c r="B8" s="261" t="n"/>
      <c r="C8" s="261" t="n"/>
      <c r="D8" s="261" t="n"/>
      <c r="E8" s="261" t="n"/>
      <c r="F8" s="260" t="n"/>
      <c r="G8" s="264" t="inlineStr">
        <is>
          <t>Provided To</t>
        </is>
      </c>
      <c r="H8" s="261" t="n"/>
      <c r="I8" s="261" t="n"/>
      <c r="J8" s="261" t="n"/>
      <c r="K8" s="261" t="n"/>
      <c r="L8" s="261" t="n"/>
      <c r="M8" s="261" t="n"/>
      <c r="N8" s="261" t="n"/>
      <c r="P8" s="262" t="n">
        <v>100</v>
      </c>
      <c r="Q8" s="262" t="inlineStr">
        <is>
          <t>pct</t>
        </is>
      </c>
      <c r="T8" s="265" t="n">
        <v>46132</v>
      </c>
      <c r="V8" s="262" t="inlineStr">
        <is>
          <t>Traceback Team</t>
        </is>
      </c>
      <c r="Y8" s="265" t="n">
        <v>46174</v>
      </c>
      <c r="AA8" s="262">
        <f>AA7+1</f>
        <v/>
      </c>
      <c r="AC8" s="266" t="inlineStr">
        <is>
          <t>Citation floor</t>
        </is>
      </c>
    </row>
    <row r="9">
      <c r="A9" s="261" t="n"/>
      <c r="B9" s="261" t="n"/>
      <c r="C9" s="264" t="inlineStr">
        <is>
          <t>Provided To</t>
        </is>
      </c>
      <c r="D9" s="261" t="n"/>
      <c r="E9" s="261" t="n"/>
      <c r="F9" s="260" t="n"/>
      <c r="G9" s="264" t="inlineStr">
        <is>
          <t>Provided To</t>
        </is>
      </c>
      <c r="H9" s="264" t="inlineStr">
        <is>
          <t>Provided To</t>
        </is>
      </c>
      <c r="I9" s="261" t="n"/>
      <c r="J9" s="261" t="n"/>
      <c r="K9" s="261" t="n"/>
      <c r="L9" s="261" t="n"/>
      <c r="M9" s="261" t="n"/>
      <c r="N9" s="261" t="n"/>
      <c r="P9" s="266" t="inlineStr">
        <is>
          <t>ANY unresolved claim blocks spec emission</t>
        </is>
      </c>
      <c r="Q9" s="262" t="inlineStr">
        <is>
          <t>invariant</t>
        </is>
      </c>
      <c r="T9" s="265" t="n">
        <v>46132</v>
      </c>
      <c r="V9" s="262" t="inlineStr">
        <is>
          <t>Traceback Team</t>
        </is>
      </c>
      <c r="Y9" s="265" t="n">
        <v>46174</v>
      </c>
      <c r="AA9" s="262">
        <f>AA8+1</f>
        <v/>
      </c>
      <c r="AC9" s="266" t="inlineStr">
        <is>
          <t>Block-on-miss rule</t>
        </is>
      </c>
    </row>
    <row r="10">
      <c r="A10" s="261" t="n"/>
      <c r="B10" s="261" t="n"/>
      <c r="C10" s="261" t="n"/>
      <c r="D10" s="261" t="n"/>
      <c r="E10" s="261" t="n"/>
      <c r="F10" s="260" t="n"/>
      <c r="G10" s="261" t="n"/>
      <c r="H10" s="261" t="n"/>
      <c r="I10" s="261" t="n"/>
      <c r="J10" s="261" t="n"/>
      <c r="K10" s="261" t="n"/>
      <c r="L10" s="261" t="n"/>
      <c r="M10" s="261" t="n"/>
      <c r="N10" s="261" t="n"/>
      <c r="AA10" s="262">
        <f>AA9+1</f>
        <v/>
      </c>
      <c r="AB10" s="263" t="inlineStr">
        <is>
          <t>IF-32 Spec preview render (driven by EC13, EC12 · UI · I.UI.1, I.UI.2)</t>
        </is>
      </c>
    </row>
    <row r="11">
      <c r="A11" s="264" t="inlineStr">
        <is>
          <t>Provided To</t>
        </is>
      </c>
      <c r="B11" s="261" t="n"/>
      <c r="C11" s="261" t="n"/>
      <c r="D11" s="261" t="n"/>
      <c r="E11" s="261" t="n"/>
      <c r="F11" s="260" t="n"/>
      <c r="G11" s="261" t="n"/>
      <c r="H11" s="261" t="n"/>
      <c r="I11" s="261" t="n"/>
      <c r="J11" s="261" t="n"/>
      <c r="K11" s="261" t="n"/>
      <c r="L11" s="261" t="n"/>
      <c r="M11" s="261" t="n"/>
      <c r="N11" s="261" t="n"/>
      <c r="P11" s="262" t="n">
        <v>1</v>
      </c>
      <c r="Q11" s="262" t="inlineStr">
        <is>
          <t>format (Mermaid)</t>
        </is>
      </c>
      <c r="T11" s="265" t="n">
        <v>46132</v>
      </c>
      <c r="V11" s="262" t="inlineStr">
        <is>
          <t>Spec Team</t>
        </is>
      </c>
      <c r="Y11" s="265" t="n">
        <v>46174</v>
      </c>
      <c r="AA11" s="262">
        <f>AA10+1</f>
        <v/>
      </c>
      <c r="AC11" s="266" t="inlineStr">
        <is>
          <t>Spec format count v1</t>
        </is>
      </c>
    </row>
  </sheetData>
  <mergeCells count="1">
    <mergeCell ref="A1:AC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Traceback Store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Traceback Store</t>
        </is>
      </c>
      <c r="AC3" s="259" t="n"/>
    </row>
    <row r="4">
      <c r="A4" s="261" t="n"/>
      <c r="B4" s="261" t="n"/>
      <c r="C4" s="261" t="n"/>
      <c r="D4" s="261" t="n"/>
      <c r="E4" s="261" t="n"/>
      <c r="F4" s="261" t="n"/>
      <c r="G4" s="260" t="n"/>
      <c r="H4" s="261" t="n"/>
      <c r="I4" s="261" t="n"/>
      <c r="J4" s="261" t="n"/>
      <c r="K4" s="261" t="n"/>
      <c r="L4" s="261" t="n"/>
      <c r="M4" s="261" t="n"/>
      <c r="N4" s="261" t="n"/>
      <c r="AA4" s="262" t="n">
        <v>1</v>
      </c>
      <c r="AB4" s="263" t="inlineStr">
        <is>
          <t>IF-14 Traced citations (driven by EC9, EC10 · operational · I.INT.7)</t>
        </is>
      </c>
    </row>
    <row r="5">
      <c r="A5" s="261" t="n"/>
      <c r="B5" s="261" t="n"/>
      <c r="C5" s="261" t="n"/>
      <c r="D5" s="261" t="n"/>
      <c r="E5" s="261" t="n"/>
      <c r="F5" s="264" t="inlineStr">
        <is>
          <t>Provided To</t>
        </is>
      </c>
      <c r="G5" s="260" t="n"/>
      <c r="H5" s="261" t="n"/>
      <c r="I5" s="261" t="n"/>
      <c r="J5" s="261" t="n"/>
      <c r="K5" s="261" t="n"/>
      <c r="L5" s="264" t="inlineStr">
        <is>
          <t>Provided To</t>
        </is>
      </c>
      <c r="M5" s="261" t="n"/>
      <c r="N5" s="261" t="n"/>
      <c r="P5" s="262" t="n">
        <v>24</v>
      </c>
      <c r="Q5" s="262" t="inlineStr">
        <is>
          <t>hours</t>
        </is>
      </c>
      <c r="T5" s="265" t="n">
        <v>46132</v>
      </c>
      <c r="V5" s="262" t="inlineStr">
        <is>
          <t>Traceback Team</t>
        </is>
      </c>
      <c r="Y5" s="265" t="n">
        <v>46174</v>
      </c>
      <c r="AA5" s="262">
        <f>AA4+1</f>
        <v/>
      </c>
      <c r="AC5" s="266" t="inlineStr">
        <is>
          <t>Traceback cache TTL</t>
        </is>
      </c>
    </row>
    <row r="6">
      <c r="A6" s="261" t="n"/>
      <c r="B6" s="261" t="n"/>
      <c r="C6" s="261" t="n"/>
      <c r="D6" s="261" t="n"/>
      <c r="E6" s="261" t="n"/>
      <c r="F6" s="264" t="inlineStr">
        <is>
          <t>Provided To</t>
        </is>
      </c>
      <c r="G6" s="260" t="n"/>
      <c r="H6" s="261" t="n"/>
      <c r="I6" s="261" t="n"/>
      <c r="J6" s="261" t="n"/>
      <c r="K6" s="261" t="n"/>
      <c r="L6" s="264" t="inlineStr">
        <is>
          <t>Provided To</t>
        </is>
      </c>
      <c r="M6" s="261" t="n"/>
      <c r="N6" s="261" t="n"/>
      <c r="P6" s="262" t="n">
        <v>7</v>
      </c>
      <c r="Q6" s="262" t="inlineStr">
        <is>
          <t>days</t>
        </is>
      </c>
      <c r="T6" s="265" t="n">
        <v>46132</v>
      </c>
      <c r="V6" s="262" t="inlineStr">
        <is>
          <t>Traceback Team</t>
        </is>
      </c>
      <c r="Y6" s="265" t="n">
        <v>46174</v>
      </c>
      <c r="AA6" s="262">
        <f>AA5+1</f>
        <v/>
      </c>
      <c r="AC6" s="266" t="inlineStr">
        <is>
          <t>Vendor-doc refresh cadence</t>
        </is>
      </c>
    </row>
    <row r="7">
      <c r="A7" s="261" t="n"/>
      <c r="B7" s="261" t="n"/>
      <c r="C7" s="261" t="n"/>
      <c r="D7" s="261" t="n"/>
      <c r="E7" s="261" t="n"/>
      <c r="F7" s="264" t="inlineStr">
        <is>
          <t>Provided To</t>
        </is>
      </c>
      <c r="G7" s="260" t="n"/>
      <c r="H7" s="261" t="n"/>
      <c r="I7" s="261" t="n"/>
      <c r="J7" s="261" t="n"/>
      <c r="K7" s="261" t="n"/>
      <c r="L7" s="264" t="inlineStr">
        <is>
          <t>Provided To</t>
        </is>
      </c>
      <c r="M7" s="261" t="n"/>
      <c r="N7" s="261" t="n"/>
      <c r="P7" s="266" t="inlineStr">
        <is>
          <t>on refresh, expire all entries keyed to refreshed doc</t>
        </is>
      </c>
      <c r="Q7" s="262" t="inlineStr">
        <is>
          <t>invariant</t>
        </is>
      </c>
      <c r="T7" s="265" t="n">
        <v>46132</v>
      </c>
      <c r="V7" s="262" t="inlineStr">
        <is>
          <t>Traceback Team</t>
        </is>
      </c>
      <c r="Y7" s="265" t="n">
        <v>46188</v>
      </c>
      <c r="AA7" s="262">
        <f>AA6+1</f>
        <v/>
      </c>
      <c r="AC7" s="266" t="inlineStr">
        <is>
          <t>Invalidation rule (EC9↔EC11 roof)</t>
        </is>
      </c>
    </row>
    <row r="8">
      <c r="A8" s="261" t="n"/>
      <c r="B8" s="261" t="n"/>
      <c r="C8" s="261" t="n"/>
      <c r="D8" s="261" t="n"/>
      <c r="E8" s="261" t="n"/>
      <c r="F8" s="261" t="n"/>
      <c r="G8" s="260" t="n"/>
      <c r="H8" s="261" t="n"/>
      <c r="I8" s="261" t="n"/>
      <c r="J8" s="261" t="n"/>
      <c r="K8" s="261" t="n"/>
      <c r="L8" s="261" t="n"/>
      <c r="M8" s="261" t="n"/>
      <c r="N8" s="261" t="n"/>
      <c r="AA8" s="262">
        <f>AA7+1</f>
        <v/>
      </c>
      <c r="AB8" s="263" t="inlineStr">
        <is>
          <t>IF-22 Cited refs for recs (driven by EC9, EC10 · operational · I.INT.7)</t>
        </is>
      </c>
    </row>
    <row r="9">
      <c r="A9" s="261" t="n"/>
      <c r="B9" s="261" t="n"/>
      <c r="C9" s="261" t="n"/>
      <c r="D9" s="261" t="n"/>
      <c r="E9" s="261" t="n"/>
      <c r="F9" s="261" t="n"/>
      <c r="G9" s="260" t="n"/>
      <c r="H9" s="261" t="n"/>
      <c r="I9" s="261" t="n"/>
      <c r="J9" s="261" t="n"/>
      <c r="K9" s="261" t="n"/>
      <c r="L9" s="264" t="inlineStr">
        <is>
          <t>Provided To</t>
        </is>
      </c>
      <c r="M9" s="261" t="n"/>
      <c r="N9" s="261" t="n"/>
      <c r="P9" s="266" t="inlineStr">
        <is>
          <t>{claim_id, source_uri, fetched_at}</t>
        </is>
      </c>
      <c r="Q9" s="262" t="inlineStr">
        <is>
          <t>schema</t>
        </is>
      </c>
      <c r="T9" s="265" t="n">
        <v>46132</v>
      </c>
      <c r="V9" s="262" t="inlineStr">
        <is>
          <t>Traceback Team</t>
        </is>
      </c>
      <c r="Y9" s="265" t="n">
        <v>46188</v>
      </c>
      <c r="AA9" s="262">
        <f>AA8+1</f>
        <v/>
      </c>
      <c r="AC9" s="266" t="inlineStr">
        <is>
          <t>Rec-side citation schema</t>
        </is>
      </c>
    </row>
    <row r="10">
      <c r="A10" s="261" t="n"/>
      <c r="B10" s="261" t="n"/>
      <c r="C10" s="261" t="n"/>
      <c r="D10" s="261" t="n"/>
      <c r="E10" s="261" t="n"/>
      <c r="F10" s="261" t="n"/>
      <c r="G10" s="260" t="n"/>
      <c r="H10" s="261" t="n"/>
      <c r="I10" s="261" t="n"/>
      <c r="J10" s="261" t="n"/>
      <c r="K10" s="261" t="n"/>
      <c r="L10" s="261" t="n"/>
      <c r="M10" s="261" t="n"/>
      <c r="N10" s="261" t="n"/>
      <c r="AA10" s="262">
        <f>AA9+1</f>
        <v/>
      </c>
      <c r="AB10" s="263" t="inlineStr">
        <is>
          <t>IF-EXT-06 Documentation Sources (I.EXT.5 · external)</t>
        </is>
      </c>
    </row>
    <row r="11">
      <c r="A11" s="261" t="n"/>
      <c r="B11" s="261" t="n"/>
      <c r="C11" s="261" t="n"/>
      <c r="D11" s="261" t="n"/>
      <c r="E11" s="261" t="n"/>
      <c r="F11" s="264" t="inlineStr">
        <is>
          <t>Provided To</t>
        </is>
      </c>
      <c r="G11" s="260" t="n"/>
      <c r="H11" s="261" t="n"/>
      <c r="I11" s="261" t="n"/>
      <c r="J11" s="261" t="n"/>
      <c r="K11" s="261" t="n"/>
      <c r="L11" s="264" t="inlineStr">
        <is>
          <t>Provided To</t>
        </is>
      </c>
      <c r="M11" s="261" t="n"/>
      <c r="N11" s="261" t="n"/>
      <c r="P11" s="266" t="inlineStr">
        <is>
          <t>HTTPS + RAG retrieval</t>
        </is>
      </c>
      <c r="Q11" s="262" t="inlineStr">
        <is>
          <t>protocol</t>
        </is>
      </c>
      <c r="T11" s="265" t="n">
        <v>46132</v>
      </c>
      <c r="V11" s="262" t="inlineStr">
        <is>
          <t>Traceback Team</t>
        </is>
      </c>
      <c r="Y11" s="265" t="n">
        <v>46174</v>
      </c>
      <c r="AA11" s="262">
        <f>AA10+1</f>
        <v/>
      </c>
      <c r="AC11" s="266" t="inlineStr">
        <is>
          <t>Fetch protocol</t>
        </is>
      </c>
    </row>
  </sheetData>
  <mergeCells count="1">
    <mergeCell ref="A1:AC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CLI Bundle Emitter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CLI Bundle Emitter</t>
        </is>
      </c>
      <c r="AC3" s="259" t="n"/>
    </row>
    <row r="4">
      <c r="A4" s="261" t="n"/>
      <c r="B4" s="261" t="n"/>
      <c r="C4" s="261" t="n"/>
      <c r="D4" s="261" t="n"/>
      <c r="E4" s="261" t="n"/>
      <c r="F4" s="261" t="n"/>
      <c r="G4" s="261" t="n"/>
      <c r="H4" s="260" t="n"/>
      <c r="I4" s="261" t="n"/>
      <c r="J4" s="261" t="n"/>
      <c r="K4" s="261" t="n"/>
      <c r="L4" s="261" t="n"/>
      <c r="M4" s="261" t="n"/>
      <c r="N4" s="261" t="n"/>
      <c r="AA4" s="262" t="n">
        <v>1</v>
      </c>
      <c r="AB4" s="263" t="inlineStr">
        <is>
          <t>IF-16 Emit receipt + signature (driven by EC14 · operational · I.INT.4, I.EXT.7)</t>
        </is>
      </c>
    </row>
    <row r="5">
      <c r="A5" s="261" t="n"/>
      <c r="B5" s="261" t="n"/>
      <c r="C5" s="264" t="inlineStr">
        <is>
          <t>Provided To</t>
        </is>
      </c>
      <c r="D5" s="261" t="n"/>
      <c r="E5" s="261" t="n"/>
      <c r="F5" s="261" t="n"/>
      <c r="G5" s="261" t="n"/>
      <c r="H5" s="260" t="n"/>
      <c r="I5" s="261" t="n"/>
      <c r="J5" s="261" t="n"/>
      <c r="K5" s="261" t="n"/>
      <c r="L5" s="261" t="n"/>
      <c r="M5" s="261" t="n"/>
      <c r="N5" s="261" t="n"/>
      <c r="P5" s="262" t="n">
        <v>5</v>
      </c>
      <c r="Q5" s="262" t="inlineStr">
        <is>
          <t>MB</t>
        </is>
      </c>
      <c r="T5" s="265" t="n">
        <v>46132</v>
      </c>
      <c r="V5" s="262" t="inlineStr">
        <is>
          <t>CLI Team</t>
        </is>
      </c>
      <c r="Y5" s="265" t="n">
        <v>46174</v>
      </c>
      <c r="AA5" s="262">
        <f>AA4+1</f>
        <v/>
      </c>
      <c r="AC5" s="266" t="inlineStr">
        <is>
          <t>CLI bundle size max</t>
        </is>
      </c>
    </row>
    <row r="6">
      <c r="A6" s="261" t="n"/>
      <c r="B6" s="261" t="n"/>
      <c r="C6" s="264" t="inlineStr">
        <is>
          <t>Provided To</t>
        </is>
      </c>
      <c r="D6" s="261" t="n"/>
      <c r="E6" s="261" t="n"/>
      <c r="F6" s="261" t="n"/>
      <c r="G6" s="261" t="n"/>
      <c r="H6" s="260" t="n"/>
      <c r="I6" s="261" t="n"/>
      <c r="J6" s="261" t="n"/>
      <c r="K6" s="261" t="n"/>
      <c r="L6" s="261" t="n"/>
      <c r="M6" s="261" t="n"/>
      <c r="N6" s="264" t="inlineStr">
        <is>
          <t>Provided To</t>
        </is>
      </c>
      <c r="P6" s="266" t="inlineStr">
        <is>
          <t>Ed25519</t>
        </is>
      </c>
      <c r="Q6" s="262" t="inlineStr">
        <is>
          <t>algo</t>
        </is>
      </c>
      <c r="R6" s="262" t="inlineStr">
        <is>
          <t>X</t>
        </is>
      </c>
      <c r="T6" s="265" t="n">
        <v>46132</v>
      </c>
      <c r="V6" s="262" t="inlineStr">
        <is>
          <t>Sec Team</t>
        </is>
      </c>
      <c r="Y6" s="265" t="n">
        <v>46218</v>
      </c>
      <c r="AA6" s="262">
        <f>AA5+1</f>
        <v/>
      </c>
      <c r="AC6" s="266" t="inlineStr">
        <is>
          <t>Signature algo</t>
        </is>
      </c>
    </row>
    <row r="7">
      <c r="A7" s="261" t="n"/>
      <c r="B7" s="261" t="n"/>
      <c r="C7" s="261" t="n"/>
      <c r="D7" s="261" t="n"/>
      <c r="E7" s="261" t="n"/>
      <c r="F7" s="261" t="n"/>
      <c r="G7" s="261" t="n"/>
      <c r="H7" s="260" t="n"/>
      <c r="I7" s="261" t="n"/>
      <c r="J7" s="261" t="n"/>
      <c r="K7" s="261" t="n"/>
      <c r="L7" s="261" t="n"/>
      <c r="M7" s="261" t="n"/>
      <c r="N7" s="261" t="n"/>
      <c r="AA7" s="262">
        <f>AA6+1</f>
        <v/>
      </c>
      <c r="AB7" s="263" t="inlineStr">
        <is>
          <t>IF-25 CLI emission audit (driven by EC18, EC14 · operational · I.INT.4)</t>
        </is>
      </c>
    </row>
    <row r="8">
      <c r="A8" s="261" t="n"/>
      <c r="B8" s="261" t="n"/>
      <c r="C8" s="261" t="n"/>
      <c r="D8" s="261" t="n"/>
      <c r="E8" s="261" t="n"/>
      <c r="F8" s="261" t="n"/>
      <c r="G8" s="261" t="n"/>
      <c r="H8" s="260" t="n"/>
      <c r="I8" s="261" t="n"/>
      <c r="J8" s="261" t="n"/>
      <c r="K8" s="261" t="n"/>
      <c r="L8" s="261" t="n"/>
      <c r="M8" s="261" t="n"/>
      <c r="N8" s="264" t="inlineStr">
        <is>
          <t>Provided To</t>
        </is>
      </c>
      <c r="P8" s="266" t="inlineStr">
        <is>
          <t>bundle_id, hash, signer, vcs_commit, ts</t>
        </is>
      </c>
      <c r="Q8" s="262" t="inlineStr">
        <is>
          <t>schema</t>
        </is>
      </c>
      <c r="T8" s="265" t="n">
        <v>46132</v>
      </c>
      <c r="V8" s="262" t="inlineStr">
        <is>
          <t>Sec Team</t>
        </is>
      </c>
      <c r="Y8" s="265" t="n">
        <v>46174</v>
      </c>
      <c r="AA8" s="262">
        <f>AA7+1</f>
        <v/>
      </c>
      <c r="AC8" s="266" t="inlineStr">
        <is>
          <t>Audit payload fields</t>
        </is>
      </c>
    </row>
    <row r="9">
      <c r="A9" s="261" t="n"/>
      <c r="B9" s="261" t="n"/>
      <c r="C9" s="261" t="n"/>
      <c r="D9" s="261" t="n"/>
      <c r="E9" s="261" t="n"/>
      <c r="F9" s="261" t="n"/>
      <c r="G9" s="261" t="n"/>
      <c r="H9" s="260" t="n"/>
      <c r="I9" s="261" t="n"/>
      <c r="J9" s="261" t="n"/>
      <c r="K9" s="261" t="n"/>
      <c r="L9" s="261" t="n"/>
      <c r="M9" s="261" t="n"/>
      <c r="N9" s="261" t="n"/>
      <c r="AA9" s="262">
        <f>AA8+1</f>
        <v/>
      </c>
      <c r="AB9" s="263" t="inlineStr">
        <is>
          <t>IF-EXT-04 Version Control (I.EXT.3 write · external)</t>
        </is>
      </c>
    </row>
    <row r="10">
      <c r="A10" s="261" t="n"/>
      <c r="B10" s="261" t="n"/>
      <c r="C10" s="264" t="inlineStr">
        <is>
          <t>Provided To</t>
        </is>
      </c>
      <c r="D10" s="261" t="n"/>
      <c r="E10" s="261" t="n"/>
      <c r="F10" s="261" t="n"/>
      <c r="G10" s="261" t="n"/>
      <c r="H10" s="260" t="n"/>
      <c r="I10" s="261" t="n"/>
      <c r="J10" s="261" t="n"/>
      <c r="K10" s="261" t="n"/>
      <c r="L10" s="261" t="n"/>
      <c r="M10" s="261" t="n"/>
      <c r="N10" s="261" t="n"/>
      <c r="P10" s="266" t="inlineStr">
        <is>
          <t>git+HTTPS, GitHub API</t>
        </is>
      </c>
      <c r="Q10" s="262" t="inlineStr">
        <is>
          <t>protocol</t>
        </is>
      </c>
      <c r="T10" s="265" t="n">
        <v>46132</v>
      </c>
      <c r="V10" s="262" t="inlineStr">
        <is>
          <t>CLI Team</t>
        </is>
      </c>
      <c r="Y10" s="265" t="n">
        <v>46174</v>
      </c>
      <c r="AA10" s="262">
        <f>AA9+1</f>
        <v/>
      </c>
      <c r="AC10" s="266" t="inlineStr">
        <is>
          <t>Target VCS protocols</t>
        </is>
      </c>
    </row>
    <row r="11">
      <c r="A11" s="261" t="n"/>
      <c r="B11" s="261" t="n"/>
      <c r="C11" s="261" t="n"/>
      <c r="D11" s="261" t="n"/>
      <c r="E11" s="261" t="n"/>
      <c r="F11" s="261" t="n"/>
      <c r="G11" s="261" t="n"/>
      <c r="H11" s="260" t="n"/>
      <c r="I11" s="261" t="n"/>
      <c r="J11" s="261" t="n"/>
      <c r="K11" s="261" t="n"/>
      <c r="L11" s="261" t="n"/>
      <c r="M11" s="261" t="n"/>
      <c r="N11" s="261" t="n"/>
      <c r="AA11" s="262">
        <f>AA10+1</f>
        <v/>
      </c>
      <c r="AB11" s="263" t="inlineStr">
        <is>
          <t>IF-EXT-10 IDE / CLI Clients (I.EXT.7 · external)</t>
        </is>
      </c>
    </row>
    <row r="12">
      <c r="A12" s="261" t="n"/>
      <c r="B12" s="261" t="n"/>
      <c r="C12" s="264" t="inlineStr">
        <is>
          <t>Provided To</t>
        </is>
      </c>
      <c r="D12" s="261" t="n"/>
      <c r="E12" s="261" t="n"/>
      <c r="F12" s="261" t="n"/>
      <c r="G12" s="261" t="n"/>
      <c r="H12" s="260" t="n"/>
      <c r="I12" s="261" t="n"/>
      <c r="J12" s="261" t="n"/>
      <c r="K12" s="261" t="n"/>
      <c r="L12" s="261" t="n"/>
      <c r="M12" s="261" t="n"/>
      <c r="N12" s="261" t="n"/>
      <c r="P12" s="266" t="inlineStr">
        <is>
          <t>SKILL.md + CLAUDE.md + MCP tool defs</t>
        </is>
      </c>
      <c r="Q12" s="262" t="inlineStr">
        <is>
          <t>files</t>
        </is>
      </c>
      <c r="T12" s="265" t="n">
        <v>46132</v>
      </c>
      <c r="V12" s="262" t="inlineStr">
        <is>
          <t>CLI Team</t>
        </is>
      </c>
      <c r="Y12" s="265" t="n">
        <v>46174</v>
      </c>
      <c r="AA12" s="262">
        <f>AA11+1</f>
        <v/>
      </c>
      <c r="AC12" s="266" t="inlineStr">
        <is>
          <t>Artifact set</t>
        </is>
      </c>
    </row>
  </sheetData>
  <mergeCells count="1">
    <mergeCell ref="A1:AC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C11"/>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Probe SDK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Probe SDK</t>
        </is>
      </c>
      <c r="AC3" s="259" t="n"/>
    </row>
    <row r="4">
      <c r="A4" s="261" t="n"/>
      <c r="B4" s="261" t="n"/>
      <c r="C4" s="261" t="n"/>
      <c r="D4" s="261" t="n"/>
      <c r="E4" s="261" t="n"/>
      <c r="F4" s="261" t="n"/>
      <c r="G4" s="261" t="n"/>
      <c r="H4" s="261" t="n"/>
      <c r="I4" s="260" t="n"/>
      <c r="J4" s="261" t="n"/>
      <c r="K4" s="261" t="n"/>
      <c r="L4" s="261" t="n"/>
      <c r="M4" s="261" t="n"/>
      <c r="N4" s="261" t="n"/>
      <c r="AA4" s="262" t="n">
        <v>1</v>
      </c>
      <c r="AB4" s="263" t="inlineStr">
        <is>
          <t>IF-17 Probe payload (driven by EC1, EC3, EC4, EC2 · external · I.EXT.10, I.EXT.4 · ROOF EC1↔EC2, EC2↔EC4)</t>
        </is>
      </c>
    </row>
    <row r="5">
      <c r="A5" s="261" t="n"/>
      <c r="B5" s="261" t="n"/>
      <c r="C5" s="261" t="n"/>
      <c r="D5" s="261" t="n"/>
      <c r="E5" s="261" t="n"/>
      <c r="F5" s="261" t="n"/>
      <c r="G5" s="261" t="n"/>
      <c r="H5" s="261" t="n"/>
      <c r="I5" s="260" t="n"/>
      <c r="J5" s="264" t="inlineStr">
        <is>
          <t>Provided To</t>
        </is>
      </c>
      <c r="K5" s="261" t="n"/>
      <c r="L5" s="261" t="n"/>
      <c r="M5" s="261" t="n"/>
      <c r="N5" s="261" t="n"/>
      <c r="P5" s="262" t="n">
        <v>6</v>
      </c>
      <c r="Q5" s="262" t="inlineStr">
        <is>
          <t>probes/min</t>
        </is>
      </c>
      <c r="T5" s="265" t="n">
        <v>46132</v>
      </c>
      <c r="V5" s="262" t="inlineStr">
        <is>
          <t>Probe Team</t>
        </is>
      </c>
      <c r="Y5" s="265" t="n">
        <v>46174</v>
      </c>
      <c r="AA5" s="262">
        <f>AA4+1</f>
        <v/>
      </c>
      <c r="AC5" s="266" t="inlineStr">
        <is>
          <t>Probe frequency max</t>
        </is>
      </c>
    </row>
    <row r="6">
      <c r="A6" s="261" t="n"/>
      <c r="B6" s="261" t="n"/>
      <c r="C6" s="261" t="n"/>
      <c r="D6" s="261" t="n"/>
      <c r="E6" s="261" t="n"/>
      <c r="F6" s="261" t="n"/>
      <c r="G6" s="261" t="n"/>
      <c r="H6" s="261" t="n"/>
      <c r="I6" s="260" t="n"/>
      <c r="J6" s="264" t="inlineStr">
        <is>
          <t>Provided To</t>
        </is>
      </c>
      <c r="K6" s="261" t="n"/>
      <c r="L6" s="261" t="n"/>
      <c r="M6" s="261" t="n"/>
      <c r="N6" s="261" t="n"/>
      <c r="P6" s="262" t="n">
        <v>4</v>
      </c>
      <c r="Q6" s="262" t="inlineStr">
        <is>
          <t>KB/payload</t>
        </is>
      </c>
      <c r="T6" s="265" t="n">
        <v>46132</v>
      </c>
      <c r="V6" s="262" t="inlineStr">
        <is>
          <t>Probe Team</t>
        </is>
      </c>
      <c r="Y6" s="265" t="n">
        <v>46174</v>
      </c>
      <c r="AA6" s="262">
        <f>AA5+1</f>
        <v/>
      </c>
      <c r="AC6" s="266" t="inlineStr">
        <is>
          <t>Metric payload size max</t>
        </is>
      </c>
    </row>
    <row r="7">
      <c r="A7" s="261" t="n"/>
      <c r="B7" s="261" t="n"/>
      <c r="C7" s="261" t="n"/>
      <c r="D7" s="261" t="n"/>
      <c r="E7" s="261" t="n"/>
      <c r="F7" s="261" t="n"/>
      <c r="G7" s="261" t="n"/>
      <c r="H7" s="261" t="n"/>
      <c r="I7" s="260" t="n"/>
      <c r="J7" s="264" t="inlineStr">
        <is>
          <t>Provided To</t>
        </is>
      </c>
      <c r="K7" s="261" t="n"/>
      <c r="L7" s="261" t="n"/>
      <c r="M7" s="261" t="n"/>
      <c r="N7" s="261" t="n"/>
      <c r="P7" s="262" t="n">
        <v>50</v>
      </c>
      <c r="Q7" s="262" t="inlineStr">
        <is>
          <t>events/batch</t>
        </is>
      </c>
      <c r="T7" s="265" t="n">
        <v>46132</v>
      </c>
      <c r="V7" s="262" t="inlineStr">
        <is>
          <t>Probe Team</t>
        </is>
      </c>
      <c r="Y7" s="265" t="n">
        <v>46174</v>
      </c>
      <c r="AA7" s="262">
        <f>AA6+1</f>
        <v/>
      </c>
      <c r="AC7" s="266" t="inlineStr">
        <is>
          <t>Batch size min</t>
        </is>
      </c>
    </row>
    <row r="8">
      <c r="A8" s="261" t="n"/>
      <c r="B8" s="261" t="n"/>
      <c r="C8" s="261" t="n"/>
      <c r="D8" s="261" t="n"/>
      <c r="E8" s="261" t="n"/>
      <c r="F8" s="261" t="n"/>
      <c r="G8" s="261" t="n"/>
      <c r="H8" s="261" t="n"/>
      <c r="I8" s="260" t="n"/>
      <c r="J8" s="264" t="inlineStr">
        <is>
          <t>Provided To</t>
        </is>
      </c>
      <c r="K8" s="261" t="n"/>
      <c r="L8" s="261" t="n"/>
      <c r="M8" s="261" t="n"/>
      <c r="N8" s="261" t="n"/>
      <c r="P8" s="262" t="n">
        <v>10</v>
      </c>
      <c r="Q8" s="262" t="inlineStr">
        <is>
          <t>events (time-based flush)</t>
        </is>
      </c>
      <c r="T8" s="265" t="n">
        <v>46132</v>
      </c>
      <c r="V8" s="262" t="inlineStr">
        <is>
          <t>Probe Team</t>
        </is>
      </c>
      <c r="Y8" s="265" t="n">
        <v>46174</v>
      </c>
      <c r="AA8" s="262">
        <f>AA7+1</f>
        <v/>
      </c>
      <c r="AC8" s="266" t="inlineStr">
        <is>
          <t>Flush fallback batch size</t>
        </is>
      </c>
    </row>
    <row r="9">
      <c r="A9" s="261" t="n"/>
      <c r="B9" s="261" t="n"/>
      <c r="C9" s="261" t="n"/>
      <c r="D9" s="261" t="n"/>
      <c r="E9" s="261" t="n"/>
      <c r="F9" s="261" t="n"/>
      <c r="G9" s="261" t="n"/>
      <c r="H9" s="261" t="n"/>
      <c r="I9" s="260" t="n"/>
      <c r="J9" s="264" t="inlineStr">
        <is>
          <t>Provided To</t>
        </is>
      </c>
      <c r="K9" s="261" t="n"/>
      <c r="L9" s="261" t="n"/>
      <c r="M9" s="261" t="n"/>
      <c r="N9" s="261" t="n"/>
      <c r="P9" s="262" t="n">
        <v>2</v>
      </c>
      <c r="Q9" s="262" t="inlineStr">
        <is>
          <t>pct</t>
        </is>
      </c>
      <c r="T9" s="265" t="n">
        <v>46132</v>
      </c>
      <c r="V9" s="262" t="inlineStr">
        <is>
          <t>Probe Team</t>
        </is>
      </c>
      <c r="Y9" s="265" t="n">
        <v>46174</v>
      </c>
      <c r="AA9" s="262">
        <f>AA8+1</f>
        <v/>
      </c>
      <c r="AC9" s="266" t="inlineStr">
        <is>
          <t>Customer-system overhead ceiling</t>
        </is>
      </c>
    </row>
    <row r="10">
      <c r="A10" s="261" t="n"/>
      <c r="B10" s="261" t="n"/>
      <c r="C10" s="261" t="n"/>
      <c r="D10" s="261" t="n"/>
      <c r="E10" s="261" t="n"/>
      <c r="F10" s="261" t="n"/>
      <c r="G10" s="261" t="n"/>
      <c r="H10" s="261" t="n"/>
      <c r="I10" s="260" t="n"/>
      <c r="J10" s="261" t="n"/>
      <c r="K10" s="261" t="n"/>
      <c r="L10" s="261" t="n"/>
      <c r="M10" s="261" t="n"/>
      <c r="N10" s="261" t="n"/>
      <c r="AA10" s="262">
        <f>AA9+1</f>
        <v/>
      </c>
      <c r="AB10" s="263" t="inlineStr">
        <is>
          <t>IF-EXT-05 Customer Prod Systems (I.EXT.10 · external · READ-ONLY)</t>
        </is>
      </c>
    </row>
    <row r="11">
      <c r="A11" s="261" t="n"/>
      <c r="B11" s="261" t="n"/>
      <c r="C11" s="261" t="n"/>
      <c r="D11" s="261" t="n"/>
      <c r="E11" s="261" t="n"/>
      <c r="F11" s="261" t="n"/>
      <c r="G11" s="261" t="n"/>
      <c r="H11" s="261" t="n"/>
      <c r="I11" s="260" t="n"/>
      <c r="J11" s="264" t="inlineStr">
        <is>
          <t>Provided To</t>
        </is>
      </c>
      <c r="K11" s="261" t="n"/>
      <c r="L11" s="261" t="n"/>
      <c r="M11" s="261" t="n"/>
      <c r="N11" s="261" t="n"/>
      <c r="P11" s="266" t="inlineStr">
        <is>
          <t>read-only VCS + Obs handles</t>
        </is>
      </c>
      <c r="Q11" s="262" t="inlineStr">
        <is>
          <t>scope</t>
        </is>
      </c>
      <c r="T11" s="265" t="n">
        <v>46132</v>
      </c>
      <c r="V11" s="262" t="inlineStr">
        <is>
          <t>Sec Team</t>
        </is>
      </c>
      <c r="Y11" s="265" t="n">
        <v>46174</v>
      </c>
      <c r="AA11" s="262">
        <f>AA10+1</f>
        <v/>
      </c>
      <c r="AC11" s="266" t="inlineStr">
        <is>
          <t>Handle scope</t>
        </is>
      </c>
    </row>
  </sheetData>
  <mergeCells count="1">
    <mergeCell ref="A1:AC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Metrics Collector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Metrics Collector</t>
        </is>
      </c>
      <c r="AC3" s="259" t="n"/>
    </row>
    <row r="4">
      <c r="A4" s="261" t="n"/>
      <c r="B4" s="261" t="n"/>
      <c r="C4" s="261" t="n"/>
      <c r="D4" s="261" t="n"/>
      <c r="E4" s="261" t="n"/>
      <c r="F4" s="261" t="n"/>
      <c r="G4" s="261" t="n"/>
      <c r="H4" s="261" t="n"/>
      <c r="I4" s="261" t="n"/>
      <c r="J4" s="260" t="n"/>
      <c r="K4" s="261" t="n"/>
      <c r="L4" s="261" t="n"/>
      <c r="M4" s="261" t="n"/>
      <c r="N4" s="261" t="n"/>
      <c r="AA4" s="262" t="n">
        <v>1</v>
      </c>
      <c r="AB4" s="263" t="inlineStr">
        <is>
          <t>IF-18 Backpressure + config (driven by EC1, EC3, EC4 · external)</t>
        </is>
      </c>
    </row>
    <row r="5">
      <c r="A5" s="261" t="n"/>
      <c r="B5" s="261" t="n"/>
      <c r="C5" s="261" t="n"/>
      <c r="D5" s="261" t="n"/>
      <c r="E5" s="261" t="n"/>
      <c r="F5" s="261" t="n"/>
      <c r="G5" s="261" t="n"/>
      <c r="H5" s="261" t="n"/>
      <c r="I5" s="264" t="inlineStr">
        <is>
          <t>Provided To</t>
        </is>
      </c>
      <c r="J5" s="260" t="n"/>
      <c r="K5" s="261" t="n"/>
      <c r="L5" s="261" t="n"/>
      <c r="M5" s="261" t="n"/>
      <c r="N5" s="261" t="n"/>
      <c r="P5" s="266" t="inlineStr">
        <is>
          <t>reject probes &gt; 4 KB or &gt; 6/min</t>
        </is>
      </c>
      <c r="Q5" s="262" t="inlineStr">
        <is>
          <t>invariant</t>
        </is>
      </c>
      <c r="T5" s="265" t="n">
        <v>46132</v>
      </c>
      <c r="V5" s="262" t="inlineStr">
        <is>
          <t>Collector Team</t>
        </is>
      </c>
      <c r="Y5" s="265" t="n">
        <v>46174</v>
      </c>
      <c r="AA5" s="262">
        <f>AA4+1</f>
        <v/>
      </c>
      <c r="AC5" s="266" t="inlineStr">
        <is>
          <t>Reject-on-violation rule</t>
        </is>
      </c>
    </row>
    <row r="6">
      <c r="A6" s="261" t="n"/>
      <c r="B6" s="261" t="n"/>
      <c r="C6" s="261" t="n"/>
      <c r="D6" s="261" t="n"/>
      <c r="E6" s="261" t="n"/>
      <c r="F6" s="261" t="n"/>
      <c r="G6" s="261" t="n"/>
      <c r="H6" s="261" t="n"/>
      <c r="I6" s="264" t="inlineStr">
        <is>
          <t>Provided To</t>
        </is>
      </c>
      <c r="J6" s="260" t="n"/>
      <c r="K6" s="261" t="n"/>
      <c r="L6" s="261" t="n"/>
      <c r="M6" s="261" t="n"/>
      <c r="N6" s="261" t="n"/>
      <c r="P6" s="262" t="n">
        <v>300</v>
      </c>
      <c r="Q6" s="262" t="inlineStr">
        <is>
          <t>s</t>
        </is>
      </c>
      <c r="R6" s="262" t="inlineStr">
        <is>
          <t>X</t>
        </is>
      </c>
      <c r="T6" s="265" t="n">
        <v>46132</v>
      </c>
      <c r="V6" s="262" t="inlineStr">
        <is>
          <t>Collector Team</t>
        </is>
      </c>
      <c r="Y6" s="265" t="n">
        <v>46218</v>
      </c>
      <c r="AA6" s="262">
        <f>AA5+1</f>
        <v/>
      </c>
      <c r="AC6" s="266" t="inlineStr">
        <is>
          <t>Config push interval</t>
        </is>
      </c>
    </row>
    <row r="7">
      <c r="A7" s="261" t="n"/>
      <c r="B7" s="261" t="n"/>
      <c r="C7" s="261" t="n"/>
      <c r="D7" s="261" t="n"/>
      <c r="E7" s="261" t="n"/>
      <c r="F7" s="261" t="n"/>
      <c r="G7" s="261" t="n"/>
      <c r="H7" s="261" t="n"/>
      <c r="I7" s="261" t="n"/>
      <c r="J7" s="260" t="n"/>
      <c r="K7" s="261" t="n"/>
      <c r="L7" s="261" t="n"/>
      <c r="M7" s="261" t="n"/>
      <c r="N7" s="261" t="n"/>
      <c r="AA7" s="262">
        <f>AA6+1</f>
        <v/>
      </c>
      <c r="AB7" s="263" t="inlineStr">
        <is>
          <t>IF-19 Aggregated write (driven by EC2 · operational)</t>
        </is>
      </c>
    </row>
    <row r="8">
      <c r="A8" s="261" t="n"/>
      <c r="B8" s="261" t="n"/>
      <c r="C8" s="261" t="n"/>
      <c r="D8" s="261" t="n"/>
      <c r="E8" s="261" t="n"/>
      <c r="F8" s="261" t="n"/>
      <c r="G8" s="261" t="n"/>
      <c r="H8" s="261" t="n"/>
      <c r="I8" s="261" t="n"/>
      <c r="J8" s="260" t="n"/>
      <c r="K8" s="264" t="inlineStr">
        <is>
          <t>Provided To</t>
        </is>
      </c>
      <c r="L8" s="261" t="n"/>
      <c r="M8" s="261" t="n"/>
      <c r="N8" s="261" t="n"/>
      <c r="P8" s="262" t="n">
        <v>60</v>
      </c>
      <c r="Q8" s="262" t="inlineStr">
        <is>
          <t>min</t>
        </is>
      </c>
      <c r="T8" s="265" t="n">
        <v>46132</v>
      </c>
      <c r="V8" s="262" t="inlineStr">
        <is>
          <t>Collector Team</t>
        </is>
      </c>
      <c r="Y8" s="265" t="n">
        <v>46174</v>
      </c>
      <c r="AA8" s="262">
        <f>AA7+1</f>
        <v/>
      </c>
      <c r="AC8" s="266" t="inlineStr">
        <is>
          <t>Aggregation window</t>
        </is>
      </c>
    </row>
    <row r="9">
      <c r="A9" s="261" t="n"/>
      <c r="B9" s="261" t="n"/>
      <c r="C9" s="261" t="n"/>
      <c r="D9" s="261" t="n"/>
      <c r="E9" s="261" t="n"/>
      <c r="F9" s="261" t="n"/>
      <c r="G9" s="261" t="n"/>
      <c r="H9" s="261" t="n"/>
      <c r="I9" s="261" t="n"/>
      <c r="J9" s="260" t="n"/>
      <c r="K9" s="261" t="n"/>
      <c r="L9" s="261" t="n"/>
      <c r="M9" s="261" t="n"/>
      <c r="N9" s="261" t="n"/>
      <c r="AA9" s="262">
        <f>AA8+1</f>
        <v/>
      </c>
      <c r="AB9" s="263" t="inlineStr">
        <is>
          <t>IF-26 Probe rejection audit (driven by EC18, EC1 · operational · I.EXT.10, I.EXT.9)</t>
        </is>
      </c>
    </row>
    <row r="10">
      <c r="A10" s="261" t="n"/>
      <c r="B10" s="261" t="n"/>
      <c r="C10" s="261" t="n"/>
      <c r="D10" s="261" t="n"/>
      <c r="E10" s="261" t="n"/>
      <c r="F10" s="261" t="n"/>
      <c r="G10" s="261" t="n"/>
      <c r="H10" s="261" t="n"/>
      <c r="I10" s="261" t="n"/>
      <c r="J10" s="260" t="n"/>
      <c r="K10" s="261" t="n"/>
      <c r="L10" s="261" t="n"/>
      <c r="M10" s="261" t="n"/>
      <c r="N10" s="264" t="inlineStr">
        <is>
          <t>Provided To</t>
        </is>
      </c>
      <c r="P10" s="262" t="n">
        <v>90</v>
      </c>
      <c r="Q10" s="262" t="inlineStr">
        <is>
          <t>days</t>
        </is>
      </c>
      <c r="T10" s="265" t="n">
        <v>46132</v>
      </c>
      <c r="V10" s="262" t="inlineStr">
        <is>
          <t>Sec Team</t>
        </is>
      </c>
      <c r="Y10" s="265" t="n">
        <v>46218</v>
      </c>
      <c r="AA10" s="262">
        <f>AA9+1</f>
        <v/>
      </c>
      <c r="AC10" s="266" t="inlineStr">
        <is>
          <t>Rejection log retention</t>
        </is>
      </c>
    </row>
  </sheetData>
  <mergeCells count="1">
    <mergeCell ref="A1:AC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C6"/>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Metric Store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Metric Store</t>
        </is>
      </c>
      <c r="AC3" s="259" t="n"/>
    </row>
    <row r="4">
      <c r="A4" s="261" t="n"/>
      <c r="B4" s="261" t="n"/>
      <c r="C4" s="261" t="n"/>
      <c r="D4" s="261" t="n"/>
      <c r="E4" s="261" t="n"/>
      <c r="F4" s="261" t="n"/>
      <c r="G4" s="261" t="n"/>
      <c r="H4" s="261" t="n"/>
      <c r="I4" s="261" t="n"/>
      <c r="J4" s="261" t="n"/>
      <c r="K4" s="260" t="n"/>
      <c r="L4" s="261" t="n"/>
      <c r="M4" s="261" t="n"/>
      <c r="N4" s="261" t="n"/>
      <c r="AA4" s="262" t="n">
        <v>1</v>
      </c>
      <c r="AB4" s="263" t="inlineStr">
        <is>
          <t>IF-20 Metric read + deviation (driven by EC2 · operational · I.INT.6)</t>
        </is>
      </c>
    </row>
    <row r="5">
      <c r="A5" s="261" t="n"/>
      <c r="B5" s="261" t="n"/>
      <c r="C5" s="261" t="n"/>
      <c r="D5" s="261" t="n"/>
      <c r="E5" s="261" t="n"/>
      <c r="F5" s="261" t="n"/>
      <c r="G5" s="261" t="n"/>
      <c r="H5" s="261" t="n"/>
      <c r="I5" s="261" t="n"/>
      <c r="J5" s="261" t="n"/>
      <c r="K5" s="260" t="n"/>
      <c r="L5" s="264" t="inlineStr">
        <is>
          <t>Provided To</t>
        </is>
      </c>
      <c r="M5" s="261" t="n"/>
      <c r="N5" s="261" t="n"/>
      <c r="P5" s="266" t="inlineStr">
        <is>
          <t>pull (SS12 polls)</t>
        </is>
      </c>
      <c r="Q5" s="262" t="inlineStr">
        <is>
          <t>pattern</t>
        </is>
      </c>
      <c r="T5" s="265" t="n">
        <v>46132</v>
      </c>
      <c r="V5" s="262" t="inlineStr">
        <is>
          <t>Metric Team</t>
        </is>
      </c>
      <c r="Y5" s="265" t="n">
        <v>46174</v>
      </c>
      <c r="AA5" s="262">
        <f>AA4+1</f>
        <v/>
      </c>
      <c r="AC5" s="266" t="inlineStr">
        <is>
          <t>Query model</t>
        </is>
      </c>
    </row>
    <row r="6">
      <c r="A6" s="261" t="n"/>
      <c r="B6" s="261" t="n"/>
      <c r="C6" s="261" t="n"/>
      <c r="D6" s="261" t="n"/>
      <c r="E6" s="261" t="n"/>
      <c r="F6" s="261" t="n"/>
      <c r="G6" s="261" t="n"/>
      <c r="H6" s="261" t="n"/>
      <c r="I6" s="261" t="n"/>
      <c r="J6" s="261" t="n"/>
      <c r="K6" s="260" t="n"/>
      <c r="L6" s="264" t="inlineStr">
        <is>
          <t>Provided To</t>
        </is>
      </c>
      <c r="M6" s="261" t="n"/>
      <c r="N6" s="261" t="n"/>
      <c r="P6" s="262" t="n">
        <v>500</v>
      </c>
      <c r="Q6" s="262" t="inlineStr">
        <is>
          <t>ms</t>
        </is>
      </c>
      <c r="R6" s="262" t="inlineStr">
        <is>
          <t>X</t>
        </is>
      </c>
      <c r="T6" s="265" t="n">
        <v>46132</v>
      </c>
      <c r="V6" s="262" t="inlineStr">
        <is>
          <t>Metric Team</t>
        </is>
      </c>
      <c r="Y6" s="265" t="n">
        <v>46218</v>
      </c>
      <c r="AA6" s="262">
        <f>AA5+1</f>
        <v/>
      </c>
      <c r="AC6" s="266" t="inlineStr">
        <is>
          <t>Query latency target</t>
        </is>
      </c>
    </row>
  </sheetData>
  <mergeCells count="1">
    <mergeCell ref="A1:AC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Recommendation Engine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Recommendation Engine</t>
        </is>
      </c>
      <c r="AC3" s="259" t="n"/>
    </row>
    <row r="4">
      <c r="A4" s="261" t="n"/>
      <c r="B4" s="261" t="n"/>
      <c r="C4" s="261" t="n"/>
      <c r="D4" s="261" t="n"/>
      <c r="E4" s="261" t="n"/>
      <c r="F4" s="261" t="n"/>
      <c r="G4" s="261" t="n"/>
      <c r="H4" s="261" t="n"/>
      <c r="I4" s="261" t="n"/>
      <c r="J4" s="261" t="n"/>
      <c r="K4" s="261" t="n"/>
      <c r="L4" s="260" t="n"/>
      <c r="M4" s="261" t="n"/>
      <c r="N4" s="261" t="n"/>
      <c r="AA4" s="262" t="n">
        <v>1</v>
      </c>
      <c r="AB4" s="263" t="inlineStr">
        <is>
          <t>IF-21 Citation lookup for recs (driven by EC9, EC10 · operational · I.INT.6, I.INT.7)</t>
        </is>
      </c>
    </row>
    <row r="5">
      <c r="A5" s="261" t="n"/>
      <c r="B5" s="261" t="n"/>
      <c r="C5" s="261" t="n"/>
      <c r="D5" s="261" t="n"/>
      <c r="E5" s="261" t="n"/>
      <c r="F5" s="261" t="n"/>
      <c r="G5" s="264" t="inlineStr">
        <is>
          <t>Provided To</t>
        </is>
      </c>
      <c r="H5" s="261" t="n"/>
      <c r="I5" s="261" t="n"/>
      <c r="J5" s="261" t="n"/>
      <c r="K5" s="261" t="n"/>
      <c r="L5" s="260" t="n"/>
      <c r="M5" s="261" t="n"/>
      <c r="N5" s="261" t="n"/>
      <c r="P5" s="262" t="n">
        <v>100</v>
      </c>
      <c r="Q5" s="262" t="inlineStr">
        <is>
          <t>pct</t>
        </is>
      </c>
      <c r="T5" s="265" t="n">
        <v>46132</v>
      </c>
      <c r="V5" s="262" t="inlineStr">
        <is>
          <t>Rec Team</t>
        </is>
      </c>
      <c r="Y5" s="265" t="n">
        <v>46174</v>
      </c>
      <c r="AA5" s="262">
        <f>AA4+1</f>
        <v/>
      </c>
      <c r="AC5" s="266" t="inlineStr">
        <is>
          <t>Citation floor</t>
        </is>
      </c>
    </row>
    <row r="6">
      <c r="A6" s="261" t="n"/>
      <c r="B6" s="261" t="n"/>
      <c r="C6" s="261" t="n"/>
      <c r="D6" s="261" t="n"/>
      <c r="E6" s="261" t="n"/>
      <c r="F6" s="261" t="n"/>
      <c r="G6" s="261" t="n"/>
      <c r="H6" s="261" t="n"/>
      <c r="I6" s="261" t="n"/>
      <c r="J6" s="261" t="n"/>
      <c r="K6" s="261" t="n"/>
      <c r="L6" s="260" t="n"/>
      <c r="M6" s="261" t="n"/>
      <c r="N6" s="261" t="n"/>
      <c r="AA6" s="262">
        <f>AA5+1</f>
        <v/>
      </c>
      <c r="AB6" s="263" t="inlineStr">
        <is>
          <t>IF-23 Recommendation feed-back (driven by EC10 · operational · I.INT.6, I.INT.8)</t>
        </is>
      </c>
    </row>
    <row r="7">
      <c r="A7" s="261" t="n"/>
      <c r="B7" s="261" t="n"/>
      <c r="C7" s="264" t="inlineStr">
        <is>
          <t>Provided To</t>
        </is>
      </c>
      <c r="D7" s="261" t="n"/>
      <c r="E7" s="261" t="n"/>
      <c r="F7" s="261" t="n"/>
      <c r="G7" s="261" t="n"/>
      <c r="H7" s="261" t="n"/>
      <c r="I7" s="261" t="n"/>
      <c r="J7" s="261" t="n"/>
      <c r="K7" s="261" t="n"/>
      <c r="L7" s="260" t="n"/>
      <c r="M7" s="261" t="n"/>
      <c r="N7" s="261" t="n"/>
      <c r="P7" s="266" t="inlineStr">
        <is>
          <t>{rec_id, claim, citations[], confidence}</t>
        </is>
      </c>
      <c r="Q7" s="262" t="inlineStr">
        <is>
          <t>schema</t>
        </is>
      </c>
      <c r="T7" s="265" t="n">
        <v>46132</v>
      </c>
      <c r="V7" s="262" t="inlineStr">
        <is>
          <t>Rec Team</t>
        </is>
      </c>
      <c r="Y7" s="265" t="n">
        <v>46174</v>
      </c>
      <c r="AA7" s="262">
        <f>AA6+1</f>
        <v/>
      </c>
      <c r="AC7" s="266" t="inlineStr">
        <is>
          <t>Recommendation schema</t>
        </is>
      </c>
    </row>
    <row r="8">
      <c r="A8" s="261" t="n"/>
      <c r="B8" s="261" t="n"/>
      <c r="C8" s="264" t="inlineStr">
        <is>
          <t>Provided To</t>
        </is>
      </c>
      <c r="D8" s="261" t="n"/>
      <c r="E8" s="261" t="n"/>
      <c r="F8" s="261" t="n"/>
      <c r="G8" s="261" t="n"/>
      <c r="H8" s="261" t="n"/>
      <c r="I8" s="261" t="n"/>
      <c r="J8" s="261" t="n"/>
      <c r="K8" s="261" t="n"/>
      <c r="L8" s="260" t="n"/>
      <c r="M8" s="261" t="n"/>
      <c r="N8" s="261" t="n"/>
      <c r="P8" s="266" t="inlineStr">
        <is>
          <t>on deviation detected</t>
        </is>
      </c>
      <c r="Q8" s="262" t="inlineStr">
        <is>
          <t>event</t>
        </is>
      </c>
      <c r="T8" s="265" t="n">
        <v>46132</v>
      </c>
      <c r="V8" s="262" t="inlineStr">
        <is>
          <t>Rec Team</t>
        </is>
      </c>
      <c r="Y8" s="265" t="n">
        <v>46174</v>
      </c>
      <c r="AA8" s="262">
        <f>AA7+1</f>
        <v/>
      </c>
      <c r="AC8" s="266" t="inlineStr">
        <is>
          <t>Feedback cadence</t>
        </is>
      </c>
    </row>
  </sheetData>
  <mergeCells count="1">
    <mergeCell ref="A1:AC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Auth Credential Vault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Auth Credential Vault</t>
        </is>
      </c>
      <c r="AC3" s="259" t="n"/>
    </row>
    <row r="4">
      <c r="A4" s="261" t="n"/>
      <c r="B4" s="261" t="n"/>
      <c r="C4" s="261" t="n"/>
      <c r="D4" s="261" t="n"/>
      <c r="E4" s="261" t="n"/>
      <c r="F4" s="261" t="n"/>
      <c r="G4" s="261" t="n"/>
      <c r="H4" s="261" t="n"/>
      <c r="I4" s="261" t="n"/>
      <c r="J4" s="261" t="n"/>
      <c r="K4" s="261" t="n"/>
      <c r="L4" s="261" t="n"/>
      <c r="M4" s="260" t="n"/>
      <c r="N4" s="261" t="n"/>
      <c r="AA4" s="262" t="n">
        <v>1</v>
      </c>
      <c r="AB4" s="263" t="inlineStr">
        <is>
          <t>IF-27 Session token issue (driven by EC17 · operational · I.INT.1, I.EXT.1)</t>
        </is>
      </c>
    </row>
    <row r="5">
      <c r="A5" s="261" t="n"/>
      <c r="B5" s="264" t="inlineStr">
        <is>
          <t>Provided To</t>
        </is>
      </c>
      <c r="C5" s="261" t="n"/>
      <c r="D5" s="261" t="n"/>
      <c r="E5" s="261" t="n"/>
      <c r="F5" s="261" t="n"/>
      <c r="G5" s="261" t="n"/>
      <c r="H5" s="261" t="n"/>
      <c r="I5" s="261" t="n"/>
      <c r="J5" s="261" t="n"/>
      <c r="K5" s="261" t="n"/>
      <c r="L5" s="261" t="n"/>
      <c r="M5" s="260" t="n"/>
      <c r="N5" s="261" t="n"/>
      <c r="P5" s="266" t="inlineStr">
        <is>
          <t>JWT (jose)</t>
        </is>
      </c>
      <c r="Q5" s="262" t="inlineStr">
        <is>
          <t>algo</t>
        </is>
      </c>
      <c r="T5" s="265" t="n">
        <v>46132</v>
      </c>
      <c r="V5" s="262" t="inlineStr">
        <is>
          <t>Sec Team</t>
        </is>
      </c>
      <c r="Y5" s="265" t="n">
        <v>46174</v>
      </c>
      <c r="AA5" s="262">
        <f>AA4+1</f>
        <v/>
      </c>
      <c r="AC5" s="266" t="inlineStr">
        <is>
          <t>Token algo</t>
        </is>
      </c>
    </row>
    <row r="6">
      <c r="A6" s="261" t="n"/>
      <c r="B6" s="264" t="inlineStr">
        <is>
          <t>Provided To</t>
        </is>
      </c>
      <c r="C6" s="261" t="n"/>
      <c r="D6" s="261" t="n"/>
      <c r="E6" s="261" t="n"/>
      <c r="F6" s="261" t="n"/>
      <c r="G6" s="261" t="n"/>
      <c r="H6" s="261" t="n"/>
      <c r="I6" s="261" t="n"/>
      <c r="J6" s="261" t="n"/>
      <c r="K6" s="261" t="n"/>
      <c r="L6" s="261" t="n"/>
      <c r="M6" s="260" t="n"/>
      <c r="N6" s="261" t="n"/>
      <c r="P6" s="262" t="n">
        <v>7</v>
      </c>
      <c r="Q6" s="262" t="inlineStr">
        <is>
          <t>days</t>
        </is>
      </c>
      <c r="R6" s="262" t="inlineStr">
        <is>
          <t>X</t>
        </is>
      </c>
      <c r="T6" s="265" t="n">
        <v>46132</v>
      </c>
      <c r="V6" s="262" t="inlineStr">
        <is>
          <t>Sec Team</t>
        </is>
      </c>
      <c r="Y6" s="265" t="n">
        <v>46218</v>
      </c>
      <c r="AA6" s="262">
        <f>AA5+1</f>
        <v/>
      </c>
      <c r="AC6" s="266" t="inlineStr">
        <is>
          <t>Token lifetime</t>
        </is>
      </c>
    </row>
    <row r="7">
      <c r="A7" s="261" t="n"/>
      <c r="B7" s="261" t="n"/>
      <c r="C7" s="261" t="n"/>
      <c r="D7" s="261" t="n"/>
      <c r="E7" s="261" t="n"/>
      <c r="F7" s="261" t="n"/>
      <c r="G7" s="261" t="n"/>
      <c r="H7" s="261" t="n"/>
      <c r="I7" s="261" t="n"/>
      <c r="J7" s="261" t="n"/>
      <c r="K7" s="261" t="n"/>
      <c r="L7" s="261" t="n"/>
      <c r="M7" s="260" t="n"/>
      <c r="N7" s="261" t="n"/>
      <c r="AA7" s="262">
        <f>AA6+1</f>
        <v/>
      </c>
      <c r="AB7" s="263" t="inlineStr">
        <is>
          <t>IF-29 Provider credentials (driven by EC17, EC5 · internal)</t>
        </is>
      </c>
    </row>
    <row r="8">
      <c r="A8" s="261" t="n"/>
      <c r="B8" s="261" t="n"/>
      <c r="C8" s="261" t="n"/>
      <c r="D8" s="264" t="inlineStr">
        <is>
          <t>Provided To</t>
        </is>
      </c>
      <c r="E8" s="261" t="n"/>
      <c r="F8" s="261" t="n"/>
      <c r="G8" s="261" t="n"/>
      <c r="H8" s="261" t="n"/>
      <c r="I8" s="261" t="n"/>
      <c r="J8" s="261" t="n"/>
      <c r="K8" s="261" t="n"/>
      <c r="L8" s="261" t="n"/>
      <c r="M8" s="260" t="n"/>
      <c r="N8" s="261" t="n"/>
      <c r="P8" s="266" t="inlineStr">
        <is>
          <t>supabase secrets / env vault</t>
        </is>
      </c>
      <c r="Q8" s="262" t="inlineStr">
        <is>
          <t>backend</t>
        </is>
      </c>
      <c r="T8" s="265" t="n">
        <v>46132</v>
      </c>
      <c r="V8" s="262" t="inlineStr">
        <is>
          <t>Sec Team</t>
        </is>
      </c>
      <c r="Y8" s="265" t="n">
        <v>46174</v>
      </c>
      <c r="AA8" s="262">
        <f>AA7+1</f>
        <v/>
      </c>
      <c r="AC8" s="266" t="inlineStr">
        <is>
          <t>Credential vault backend</t>
        </is>
      </c>
    </row>
    <row r="9">
      <c r="A9" s="261" t="n"/>
      <c r="B9" s="261" t="n"/>
      <c r="C9" s="261" t="n"/>
      <c r="D9" s="261" t="n"/>
      <c r="E9" s="261" t="n"/>
      <c r="F9" s="261" t="n"/>
      <c r="G9" s="261" t="n"/>
      <c r="H9" s="261" t="n"/>
      <c r="I9" s="261" t="n"/>
      <c r="J9" s="261" t="n"/>
      <c r="K9" s="261" t="n"/>
      <c r="L9" s="261" t="n"/>
      <c r="M9" s="260" t="n"/>
      <c r="N9" s="261" t="n"/>
      <c r="AA9" s="262">
        <f>AA8+1</f>
        <v/>
      </c>
      <c r="AB9" s="263" t="inlineStr">
        <is>
          <t>IF-30 Probe credentials (driven by EC17 · external · I.EXT.1, I.EXT.3, I.EXT.4)</t>
        </is>
      </c>
    </row>
    <row r="10">
      <c r="A10" s="261" t="n"/>
      <c r="B10" s="261" t="n"/>
      <c r="C10" s="261" t="n"/>
      <c r="D10" s="261" t="n"/>
      <c r="E10" s="261" t="n"/>
      <c r="F10" s="261" t="n"/>
      <c r="G10" s="261" t="n"/>
      <c r="H10" s="261" t="n"/>
      <c r="I10" s="264" t="inlineStr">
        <is>
          <t>Provided To</t>
        </is>
      </c>
      <c r="J10" s="261" t="n"/>
      <c r="K10" s="261" t="n"/>
      <c r="L10" s="261" t="n"/>
      <c r="M10" s="260" t="n"/>
      <c r="N10" s="261" t="n"/>
      <c r="P10" s="266" t="inlineStr">
        <is>
          <t>REJECT all write-scope grants (UC11)</t>
        </is>
      </c>
      <c r="Q10" s="262" t="inlineStr">
        <is>
          <t>invariant</t>
        </is>
      </c>
      <c r="T10" s="265" t="n">
        <v>46132</v>
      </c>
      <c r="V10" s="262" t="inlineStr">
        <is>
          <t>Sec Team</t>
        </is>
      </c>
      <c r="Y10" s="265" t="n">
        <v>46174</v>
      </c>
      <c r="AA10" s="262">
        <f>AA9+1</f>
        <v/>
      </c>
      <c r="AC10" s="266" t="inlineStr">
        <is>
          <t>Write-scope policy</t>
        </is>
      </c>
    </row>
  </sheetData>
  <mergeCells count="1">
    <mergeCell ref="A1:AC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C7"/>
  <sheetViews>
    <sheetView workbookViewId="0">
      <selection activeCell="A1" sqref="A1"/>
    </sheetView>
  </sheetViews>
  <sheetFormatPr baseColWidth="8" defaultRowHeight="15"/>
  <cols>
    <col width="16" customWidth="1" min="1" max="1"/>
    <col width="17" customWidth="1" min="2" max="2"/>
    <col width="20" customWidth="1" min="3" max="3"/>
    <col width="20" customWidth="1" min="4" max="4"/>
    <col width="15" customWidth="1" min="5" max="5"/>
    <col width="16" customWidth="1" min="6" max="6"/>
    <col width="17" customWidth="1" min="7" max="7"/>
    <col width="20" customWidth="1" min="8" max="8"/>
    <col width="15" customWidth="1" min="9" max="9"/>
    <col width="19" customWidth="1" min="10" max="10"/>
    <col width="15" customWidth="1" min="11" max="11"/>
    <col width="23" customWidth="1" min="12" max="12"/>
    <col width="23" customWidth="1" min="13" max="13"/>
    <col width="17" customWidth="1" min="14" max="14"/>
    <col width="2" customWidth="1" min="15" max="15"/>
    <col width="18" customWidth="1" min="16" max="16"/>
    <col width="9" customWidth="1" min="17" max="17"/>
    <col width="10" customWidth="1" min="18" max="18"/>
    <col width="2" customWidth="1" min="19" max="19"/>
    <col width="13" customWidth="1" min="20" max="20"/>
    <col width="16" customWidth="1" min="21" max="21"/>
    <col width="16" customWidth="1" min="22" max="22"/>
    <col width="2" customWidth="1" min="23" max="23"/>
    <col width="20" customWidth="1" min="24" max="24"/>
    <col width="16" customWidth="1" min="25" max="25"/>
    <col width="2" customWidth="1" min="26" max="26"/>
    <col width="8" customWidth="1" min="27" max="27"/>
    <col width="32" customWidth="1" min="28" max="28"/>
    <col width="36" customWidth="1" min="29" max="29"/>
  </cols>
  <sheetData>
    <row r="1">
      <c r="A1" s="258" t="inlineStr">
        <is>
          <t>Interface Matrix Excerpt : Audit Log Store Sheet</t>
        </is>
      </c>
    </row>
    <row r="2"/>
    <row r="3">
      <c r="A3" s="259" t="inlineStr">
        <is>
          <t>Founder Web UI</t>
        </is>
      </c>
      <c r="B3" s="259" t="inlineStr">
        <is>
          <t>Session Manager</t>
        </is>
      </c>
      <c r="C3" s="259" t="inlineStr">
        <is>
          <t>Agent Orchestrator</t>
        </is>
      </c>
      <c r="D3" s="259" t="inlineStr">
        <is>
          <t>LLM Provider Layer</t>
        </is>
      </c>
      <c r="E3" s="259" t="inlineStr">
        <is>
          <t>Prompt Cache</t>
        </is>
      </c>
      <c r="F3" s="259" t="inlineStr">
        <is>
          <t>Spec Generator</t>
        </is>
      </c>
      <c r="G3" s="259" t="inlineStr">
        <is>
          <t>Traceback Store</t>
        </is>
      </c>
      <c r="H3" s="259" t="inlineStr">
        <is>
          <t>CLI Bundle Emitter</t>
        </is>
      </c>
      <c r="I3" s="259" t="inlineStr">
        <is>
          <t>Probe SDK</t>
        </is>
      </c>
      <c r="J3" s="259" t="inlineStr">
        <is>
          <t>Metrics Collector</t>
        </is>
      </c>
      <c r="K3" s="259" t="inlineStr">
        <is>
          <t>Metric Store</t>
        </is>
      </c>
      <c r="L3" s="259" t="inlineStr">
        <is>
          <t>Recommendation Engine</t>
        </is>
      </c>
      <c r="M3" s="259" t="inlineStr">
        <is>
          <t>Auth Credential Vault</t>
        </is>
      </c>
      <c r="N3" s="259" t="inlineStr">
        <is>
          <t>Audit Log Store</t>
        </is>
      </c>
      <c r="P3" s="259" t="inlineStr">
        <is>
          <t>Value</t>
        </is>
      </c>
      <c r="Q3" s="259" t="inlineStr">
        <is>
          <t>Units</t>
        </is>
      </c>
      <c r="R3" s="259" t="inlineStr">
        <is>
          <t>Estimate?</t>
        </is>
      </c>
      <c r="T3" s="259" t="inlineStr">
        <is>
          <t>Last Updated</t>
        </is>
      </c>
      <c r="U3" s="259" t="inlineStr">
        <is>
          <t>Last Updated By</t>
        </is>
      </c>
      <c r="V3" s="259" t="inlineStr">
        <is>
          <t>Interface Champ.</t>
        </is>
      </c>
      <c r="X3" s="259" t="inlineStr">
        <is>
          <t>Est. Update Due Date</t>
        </is>
      </c>
      <c r="Y3" s="259" t="inlineStr">
        <is>
          <t>Actual Due Date</t>
        </is>
      </c>
      <c r="AA3" s="259" t="inlineStr">
        <is>
          <t>Row #</t>
        </is>
      </c>
      <c r="AB3" s="259" t="inlineStr">
        <is>
          <t>Audit Log Store</t>
        </is>
      </c>
      <c r="AC3" s="259" t="n"/>
    </row>
    <row r="4">
      <c r="A4" s="261" t="n"/>
      <c r="B4" s="261" t="n"/>
      <c r="C4" s="261" t="n"/>
      <c r="D4" s="261" t="n"/>
      <c r="E4" s="261" t="n"/>
      <c r="F4" s="261" t="n"/>
      <c r="G4" s="261" t="n"/>
      <c r="H4" s="261" t="n"/>
      <c r="I4" s="261" t="n"/>
      <c r="J4" s="261" t="n"/>
      <c r="K4" s="261" t="n"/>
      <c r="L4" s="261" t="n"/>
      <c r="M4" s="261" t="n"/>
      <c r="N4" s="260" t="n"/>
      <c r="AA4" s="262" t="n">
        <v>1</v>
      </c>
      <c r="AB4" s="263" t="inlineStr">
        <is>
          <t>IF-EXT-07 Compliance Frameworks (I.EXT.9 · external)</t>
        </is>
      </c>
    </row>
    <row r="5">
      <c r="A5" s="261" t="n"/>
      <c r="B5" s="261" t="n"/>
      <c r="C5" s="264" t="inlineStr">
        <is>
          <t>Provided To</t>
        </is>
      </c>
      <c r="D5" s="261" t="n"/>
      <c r="E5" s="261" t="n"/>
      <c r="F5" s="261" t="n"/>
      <c r="G5" s="261" t="n"/>
      <c r="H5" s="264" t="inlineStr">
        <is>
          <t>Provided To</t>
        </is>
      </c>
      <c r="I5" s="261" t="n"/>
      <c r="J5" s="264" t="inlineStr">
        <is>
          <t>Provided To</t>
        </is>
      </c>
      <c r="K5" s="261" t="n"/>
      <c r="L5" s="261" t="n"/>
      <c r="M5" s="261" t="n"/>
      <c r="N5" s="260" t="n"/>
      <c r="P5" s="262" t="n">
        <v>90</v>
      </c>
      <c r="Q5" s="262" t="inlineStr">
        <is>
          <t>days</t>
        </is>
      </c>
      <c r="T5" s="265" t="n">
        <v>46132</v>
      </c>
      <c r="V5" s="262" t="inlineStr">
        <is>
          <t>Sec Team</t>
        </is>
      </c>
      <c r="Y5" s="265" t="n">
        <v>46218</v>
      </c>
      <c r="AA5" s="262">
        <f>AA4+1</f>
        <v/>
      </c>
      <c r="AC5" s="266" t="inlineStr">
        <is>
          <t>Audit retention</t>
        </is>
      </c>
    </row>
    <row r="6">
      <c r="A6" s="261" t="n"/>
      <c r="B6" s="261" t="n"/>
      <c r="C6" s="264" t="inlineStr">
        <is>
          <t>Provided To</t>
        </is>
      </c>
      <c r="D6" s="261" t="n"/>
      <c r="E6" s="261" t="n"/>
      <c r="F6" s="261" t="n"/>
      <c r="G6" s="261" t="n"/>
      <c r="H6" s="261" t="n"/>
      <c r="I6" s="261" t="n"/>
      <c r="J6" s="261" t="n"/>
      <c r="K6" s="261" t="n"/>
      <c r="L6" s="261" t="n"/>
      <c r="M6" s="261" t="n"/>
      <c r="N6" s="260" t="n"/>
      <c r="P6" s="266" t="inlineStr">
        <is>
          <t>JSONL + Parquet</t>
        </is>
      </c>
      <c r="Q6" s="262" t="inlineStr">
        <is>
          <t>formats</t>
        </is>
      </c>
      <c r="R6" s="262" t="inlineStr">
        <is>
          <t>X</t>
        </is>
      </c>
      <c r="T6" s="265" t="n">
        <v>46132</v>
      </c>
      <c r="V6" s="262" t="inlineStr">
        <is>
          <t>Sec Team</t>
        </is>
      </c>
      <c r="Y6" s="265" t="n">
        <v>46249</v>
      </c>
      <c r="AA6" s="262">
        <f>AA5+1</f>
        <v/>
      </c>
      <c r="AC6" s="266" t="inlineStr">
        <is>
          <t>Evidence export format</t>
        </is>
      </c>
    </row>
    <row r="7">
      <c r="A7" s="261" t="n"/>
      <c r="B7" s="261" t="n"/>
      <c r="C7" s="264" t="inlineStr">
        <is>
          <t>Provided To</t>
        </is>
      </c>
      <c r="D7" s="261" t="n"/>
      <c r="E7" s="261" t="n"/>
      <c r="F7" s="261" t="n"/>
      <c r="G7" s="261" t="n"/>
      <c r="H7" s="261" t="n"/>
      <c r="I7" s="261" t="n"/>
      <c r="J7" s="261" t="n"/>
      <c r="K7" s="261" t="n"/>
      <c r="L7" s="261" t="n"/>
      <c r="M7" s="261" t="n"/>
      <c r="N7" s="260" t="n"/>
      <c r="P7" s="266" t="inlineStr">
        <is>
          <t>operational audit (SOC2/HIPAA/GDPR/PCI-DSS evidence deferred to v2)</t>
        </is>
      </c>
      <c r="Q7" s="262" t="inlineStr">
        <is>
          <t>scope</t>
        </is>
      </c>
      <c r="R7" s="262" t="inlineStr">
        <is>
          <t>X</t>
        </is>
      </c>
      <c r="T7" s="265" t="n">
        <v>46132</v>
      </c>
      <c r="V7" s="262" t="inlineStr">
        <is>
          <t>Sec Team</t>
        </is>
      </c>
      <c r="Y7" s="265" t="n">
        <v>46296</v>
      </c>
      <c r="AA7" s="262">
        <f>AA6+1</f>
        <v/>
      </c>
      <c r="AC7" s="266" t="inlineStr">
        <is>
          <t>Compliance scope v1</t>
        </is>
      </c>
    </row>
  </sheetData>
  <mergeCells count="1">
    <mergeCell ref="A1:AC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S4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38" customWidth="1" min="3" max="3"/>
    <col width="40" customWidth="1" min="4" max="4"/>
    <col width="42" customWidth="1" min="5" max="5"/>
    <col width="10" customWidth="1" min="6" max="6"/>
    <col width="10" customWidth="1" min="7" max="7"/>
    <col width="8" customWidth="1" min="8" max="8"/>
    <col width="10" customWidth="1" min="9" max="9"/>
    <col width="6" customWidth="1" min="10" max="10"/>
    <col width="14" customWidth="1" min="11" max="11"/>
    <col width="50" customWidth="1" min="12" max="12"/>
    <col width="10" customWidth="1" min="13" max="13"/>
    <col width="11" customWidth="1" min="14" max="14"/>
    <col width="9" customWidth="1" min="15" max="15"/>
    <col width="14" customWidth="1" min="16" max="16"/>
    <col width="14" customWidth="1" min="17" max="17"/>
    <col width="11" customWidth="1" min="18" max="18"/>
    <col width="50" customWidth="1" min="19" max="19"/>
  </cols>
  <sheetData>
    <row r="1">
      <c r="A1" s="267" t="inlineStr">
        <is>
          <t>FAILURE MODE ID</t>
        </is>
      </c>
      <c r="B1" s="267" t="inlineStr">
        <is>
          <t>SUBSYSTEM</t>
        </is>
      </c>
      <c r="C1" s="267" t="inlineStr">
        <is>
          <t>FAILURE MODE</t>
        </is>
      </c>
      <c r="D1" s="267" t="inlineStr">
        <is>
          <t>FAILURE EFFECTS</t>
        </is>
      </c>
      <c r="E1" s="267" t="inlineStr">
        <is>
          <t>POSSIBLE CAUSE</t>
        </is>
      </c>
      <c r="F1" s="267" t="inlineStr">
        <is>
          <t>MMMME</t>
        </is>
      </c>
      <c r="G1" s="267" t="inlineStr">
        <is>
          <t>INTERFACE REF</t>
        </is>
      </c>
      <c r="H1" s="267" t="inlineStr">
        <is>
          <t>SEVERITY</t>
        </is>
      </c>
      <c r="I1" s="267" t="inlineStr">
        <is>
          <t>LIKELIHOOD</t>
        </is>
      </c>
      <c r="J1" s="267" t="inlineStr">
        <is>
          <t>RPN</t>
        </is>
      </c>
      <c r="K1" s="267" t="inlineStr">
        <is>
          <t>RISK CRITICALITY</t>
        </is>
      </c>
      <c r="L1" s="267" t="inlineStr">
        <is>
          <t>CORRECTIVE ACTION</t>
        </is>
      </c>
      <c r="M1" s="267" t="inlineStr">
        <is>
          <t>ADJUSTED SEVERITY</t>
        </is>
      </c>
      <c r="N1" s="267" t="inlineStr">
        <is>
          <t>ADJUSTED LIKELIHOOD</t>
        </is>
      </c>
      <c r="O1" s="267" t="inlineStr">
        <is>
          <t>ADJUSTED RPN</t>
        </is>
      </c>
      <c r="P1" s="267" t="inlineStr">
        <is>
          <t>ADJUSTED CRITICALITY</t>
        </is>
      </c>
      <c r="Q1" s="267" t="inlineStr">
        <is>
          <t>CORRECTIVE ACTION EFFORT</t>
        </is>
      </c>
      <c r="R1" s="267" t="inlineStr">
        <is>
          <t>DETECTABILITY</t>
        </is>
      </c>
      <c r="S1" s="267" t="inlineStr">
        <is>
          <t>TROUBLESHOOTING</t>
        </is>
      </c>
    </row>
    <row r="2">
      <c r="A2" s="268" t="inlineStr">
        <is>
          <t>F.1</t>
        </is>
      </c>
      <c r="B2" s="268" t="inlineStr">
        <is>
          <t>SS1 Founder Web UI</t>
        </is>
      </c>
      <c r="C2" s="268" t="inlineStr">
        <is>
          <t>Chat UI freezes mid-intake conversation</t>
        </is>
      </c>
      <c r="D2" s="268" t="inlineStr">
        <is>
          <t>Founder cannot continue intake; Session state may still be live server-side; confusing resume</t>
        </is>
      </c>
      <c r="E2" s="268" t="inlineStr">
        <is>
          <t>Client bundle memory leak after N streaming tokens</t>
        </is>
      </c>
      <c r="F2" s="268" t="inlineStr">
        <is>
          <t>Machine</t>
        </is>
      </c>
      <c r="G2" s="268" t="inlineStr">
        <is>
          <t>IF-02</t>
        </is>
      </c>
      <c r="H2" s="268" t="n">
        <v>2</v>
      </c>
      <c r="I2" s="268" t="n">
        <v>3</v>
      </c>
      <c r="J2" s="268" t="n">
        <v>6</v>
      </c>
      <c r="K2" s="269" t="inlineStr">
        <is>
          <t>MEDIUM</t>
        </is>
      </c>
      <c r="L2" s="268" t="inlineStr">
        <is>
          <t>Implement chunk discard after render; add idle memory profiler; cap client-side retained tokens at 16k.</t>
        </is>
      </c>
      <c r="M2" s="268" t="n">
        <v>2</v>
      </c>
      <c r="N2" s="268" t="n">
        <v>1</v>
      </c>
      <c r="O2" s="268" t="n">
        <v>2</v>
      </c>
      <c r="P2" s="270" t="inlineStr">
        <is>
          <t>LOW</t>
        </is>
      </c>
      <c r="Q2" s="268" t="inlineStr">
        <is>
          <t>8 hrs</t>
        </is>
      </c>
      <c r="R2" s="268" t="n">
        <v>2</v>
      </c>
      <c r="S2" s="268" t="inlineStr">
        <is>
          <t>Check client memory in DevTools; reload; filed ticket captures last token index.</t>
        </is>
      </c>
    </row>
    <row r="3">
      <c r="A3" s="268" t="inlineStr">
        <is>
          <t>F.1</t>
        </is>
      </c>
      <c r="B3" s="268" t="inlineStr">
        <is>
          <t>SS1 Founder Web UI</t>
        </is>
      </c>
      <c r="C3" s="268" t="inlineStr">
        <is>
          <t>Chat UI freezes mid-intake conversation</t>
        </is>
      </c>
      <c r="D3" s="268" t="inlineStr">
        <is>
          <t>Founder cannot continue intake; Session state may still be live server-side; confusing resume</t>
        </is>
      </c>
      <c r="E3" s="268" t="inlineStr">
        <is>
          <t>SSE stream from BFF stops emitting without close event</t>
        </is>
      </c>
      <c r="F3" s="268" t="inlineStr">
        <is>
          <t>Method</t>
        </is>
      </c>
      <c r="G3" s="268" t="inlineStr">
        <is>
          <t>IF-02</t>
        </is>
      </c>
      <c r="H3" s="268" t="n">
        <v>2</v>
      </c>
      <c r="I3" s="268" t="n">
        <v>2</v>
      </c>
      <c r="J3" s="268" t="n">
        <v>4</v>
      </c>
      <c r="K3" s="271" t="inlineStr">
        <is>
          <t>MEDIUM LOW</t>
        </is>
      </c>
      <c r="L3" s="268" t="inlineStr">
        <is>
          <t>Client-side SSE heartbeat with 15s watchdog + auto-reconnect; server emits periodic keep-alive.</t>
        </is>
      </c>
      <c r="M3" s="268" t="n">
        <v>2</v>
      </c>
      <c r="N3" s="268" t="n">
        <v>1</v>
      </c>
      <c r="O3" s="268" t="n">
        <v>2</v>
      </c>
      <c r="P3" s="270" t="inlineStr">
        <is>
          <t>LOW</t>
        </is>
      </c>
      <c r="Q3" s="268" t="inlineStr">
        <is>
          <t>6 hrs</t>
        </is>
      </c>
      <c r="R3" s="268" t="n">
        <v>1</v>
      </c>
      <c r="S3" s="268" t="inlineStr">
        <is>
          <t>Heartbeat dropout surfaces toast; reconnect resumes stream.</t>
        </is>
      </c>
    </row>
    <row r="4">
      <c r="A4" s="268" t="inlineStr">
        <is>
          <t>F.2</t>
        </is>
      </c>
      <c r="B4" s="268" t="inlineStr">
        <is>
          <t>SS1 Founder Web UI</t>
        </is>
      </c>
      <c r="C4" s="268" t="inlineStr">
        <is>
          <t>Quick Start dialog fails to render final spec</t>
        </is>
      </c>
      <c r="D4" s="268" t="inlineStr">
        <is>
          <t>Founder sees spinner indefinitely; Credit deducted but output not visible</t>
        </is>
      </c>
      <c r="E4" s="268" t="inlineStr">
        <is>
          <t>Streaming payload exceeds client JSON parse buffer</t>
        </is>
      </c>
      <c r="F4" s="268" t="inlineStr">
        <is>
          <t>Machine</t>
        </is>
      </c>
      <c r="G4" s="268" t="inlineStr">
        <is>
          <t>IF-32</t>
        </is>
      </c>
      <c r="H4" s="268" t="n">
        <v>3</v>
      </c>
      <c r="I4" s="268" t="n">
        <v>2</v>
      </c>
      <c r="J4" s="268" t="n">
        <v>6</v>
      </c>
      <c r="K4" s="269" t="inlineStr">
        <is>
          <t>MEDIUM</t>
        </is>
      </c>
      <c r="L4" s="268" t="inlineStr">
        <is>
          <t>Switch to incremental JSON parser; add max-payload guard and streaming error surface.</t>
        </is>
      </c>
      <c r="M4" s="268" t="n">
        <v>3</v>
      </c>
      <c r="N4" s="268" t="n">
        <v>1</v>
      </c>
      <c r="O4" s="268" t="n">
        <v>3</v>
      </c>
      <c r="P4" s="271" t="inlineStr">
        <is>
          <t>MEDIUM LOW</t>
        </is>
      </c>
      <c r="Q4" s="268" t="inlineStr">
        <is>
          <t>10 hrs</t>
        </is>
      </c>
      <c r="R4" s="268" t="n">
        <v>2</v>
      </c>
      <c r="S4" s="268" t="inlineStr">
        <is>
          <t>Dashboard shows last 3 steps; founder can resume from partial or request refund.</t>
        </is>
      </c>
    </row>
    <row r="5">
      <c r="A5" s="268" t="inlineStr">
        <is>
          <t>F.3</t>
        </is>
      </c>
      <c r="B5" s="268" t="inlineStr">
        <is>
          <t>SS2 Session Manager</t>
        </is>
      </c>
      <c r="C5" s="268" t="inlineStr">
        <is>
          <t>Session mode (cloud/local) mutates mid-session</t>
        </is>
      </c>
      <c r="D5" s="268" t="inlineStr">
        <is>
          <t>Wrong provider fan-out across up to 5 parallel agents; Violates mode-lock invariant from SEQ-3</t>
        </is>
      </c>
      <c r="E5" s="268" t="inlineStr">
        <is>
          <t>Race: user clicks 'switch to Privacy Local' after IF-03 already dispatched</t>
        </is>
      </c>
      <c r="F5" s="268" t="inlineStr">
        <is>
          <t>Man</t>
        </is>
      </c>
      <c r="G5" s="268" t="inlineStr">
        <is>
          <t>IF-03</t>
        </is>
      </c>
      <c r="H5" s="268" t="n">
        <v>4</v>
      </c>
      <c r="I5" s="268" t="n">
        <v>2</v>
      </c>
      <c r="J5" s="268" t="n">
        <v>8</v>
      </c>
      <c r="K5" s="269" t="inlineStr">
        <is>
          <t>MEDIUM</t>
        </is>
      </c>
      <c r="L5" s="268" t="inlineStr">
        <is>
          <t>Lock mode at session boot; mid-session mode change forces new session (explicit founder prompt).</t>
        </is>
      </c>
      <c r="M5" s="268" t="n">
        <v>4</v>
      </c>
      <c r="N5" s="268" t="n">
        <v>1</v>
      </c>
      <c r="O5" s="268" t="n">
        <v>4</v>
      </c>
      <c r="P5" s="271" t="inlineStr">
        <is>
          <t>MEDIUM LOW</t>
        </is>
      </c>
      <c r="Q5" s="268" t="inlineStr">
        <is>
          <t>12 hrs</t>
        </is>
      </c>
      <c r="R5" s="268" t="n">
        <v>3</v>
      </c>
      <c r="S5" s="268" t="inlineStr">
        <is>
          <t>Audit log (SS14) records mode transitions; alert fires if mode changes between IF-09 ack and IF-03.</t>
        </is>
      </c>
    </row>
    <row r="6">
      <c r="A6" s="268" t="inlineStr">
        <is>
          <t>F.3</t>
        </is>
      </c>
      <c r="B6" s="268" t="inlineStr">
        <is>
          <t>SS2 Session Manager</t>
        </is>
      </c>
      <c r="C6" s="268" t="inlineStr">
        <is>
          <t>Session mode (cloud/local) mutates mid-session</t>
        </is>
      </c>
      <c r="D6" s="268" t="inlineStr">
        <is>
          <t>Wrong provider fan-out across up to 5 parallel agents; Violates mode-lock invariant from SEQ-3</t>
        </is>
      </c>
      <c r="E6" s="268" t="inlineStr">
        <is>
          <t>IF-03 dispatch fires before IF-09 ack confirming mode (race)</t>
        </is>
      </c>
      <c r="F6" s="268" t="inlineStr">
        <is>
          <t>Method</t>
        </is>
      </c>
      <c r="G6" s="268" t="inlineStr">
        <is>
          <t>IF-03</t>
        </is>
      </c>
      <c r="H6" s="268" t="n">
        <v>4</v>
      </c>
      <c r="I6" s="268" t="n">
        <v>3</v>
      </c>
      <c r="J6" s="268" t="n">
        <v>12</v>
      </c>
      <c r="K6" s="272" t="inlineStr">
        <is>
          <t>MEDIUM HIGH</t>
        </is>
      </c>
      <c r="L6" s="268" t="inlineStr">
        <is>
          <t>Two-phase commit: IF-03 blocks on IF-09 ack with 2s timeout; on timeout, reject dispatch and retry.</t>
        </is>
      </c>
      <c r="M6" s="268" t="n">
        <v>4</v>
      </c>
      <c r="N6" s="268" t="n">
        <v>1</v>
      </c>
      <c r="O6" s="268" t="n">
        <v>4</v>
      </c>
      <c r="P6" s="271" t="inlineStr">
        <is>
          <t>MEDIUM LOW</t>
        </is>
      </c>
      <c r="Q6" s="268" t="inlineStr">
        <is>
          <t>18 hrs</t>
        </is>
      </c>
      <c r="R6" s="268" t="n">
        <v>4</v>
      </c>
      <c r="S6" s="268" t="inlineStr">
        <is>
          <t>Without fix this is near-silent; with fix, dispatch reject + retry surfaces in logs.</t>
        </is>
      </c>
    </row>
    <row r="7">
      <c r="A7" s="268" t="inlineStr">
        <is>
          <t>F.4</t>
        </is>
      </c>
      <c r="B7" s="268" t="inlineStr">
        <is>
          <t>SS2 Session Manager</t>
        </is>
      </c>
      <c r="C7" s="268" t="inlineStr">
        <is>
          <t>Session state not persisted across dashboard reload</t>
        </is>
      </c>
      <c r="D7" s="268" t="inlineStr">
        <is>
          <t>Founder loses intake context; Duplicate credit deductions if retry</t>
        </is>
      </c>
      <c r="E7" s="268" t="inlineStr">
        <is>
          <t>Session cookie refresh race with Supabase write</t>
        </is>
      </c>
      <c r="F7" s="268" t="inlineStr">
        <is>
          <t>Machine</t>
        </is>
      </c>
      <c r="G7" s="268" t="inlineStr">
        <is>
          <t>IF-27</t>
        </is>
      </c>
      <c r="H7" s="268" t="n">
        <v>3</v>
      </c>
      <c r="I7" s="268" t="n">
        <v>2</v>
      </c>
      <c r="J7" s="268" t="n">
        <v>6</v>
      </c>
      <c r="K7" s="269" t="inlineStr">
        <is>
          <t>MEDIUM</t>
        </is>
      </c>
      <c r="L7" s="268" t="inlineStr">
        <is>
          <t>Idempotency keys on session ops; persistent sessionId in Postgres before cookie write.</t>
        </is>
      </c>
      <c r="M7" s="268" t="n">
        <v>3</v>
      </c>
      <c r="N7" s="268" t="n">
        <v>1</v>
      </c>
      <c r="O7" s="268" t="n">
        <v>3</v>
      </c>
      <c r="P7" s="271" t="inlineStr">
        <is>
          <t>MEDIUM LOW</t>
        </is>
      </c>
      <c r="Q7" s="268" t="inlineStr">
        <is>
          <t>10 hrs</t>
        </is>
      </c>
      <c r="R7" s="268" t="n">
        <v>2</v>
      </c>
      <c r="S7" s="268" t="inlineStr">
        <is>
          <t>Session restore banner; last-message replay; credit-refund on duplicate detection.</t>
        </is>
      </c>
    </row>
    <row r="8">
      <c r="A8" s="268" t="inlineStr">
        <is>
          <t>F.5</t>
        </is>
      </c>
      <c r="B8" s="268" t="inlineStr">
        <is>
          <t>SS3 Agent Orchestrator</t>
        </is>
      </c>
      <c r="C8" s="268" t="inlineStr">
        <is>
          <t>Not all parallel agents in fan-out complete</t>
        </is>
      </c>
      <c r="D8" s="268" t="inlineStr">
        <is>
          <t>Partial result presented as complete; Spec generation proceeds on incomplete agent output</t>
        </is>
      </c>
      <c r="E8" s="268" t="inlineStr">
        <is>
          <t>One of 5 parallel agents hits LLM timeout (IF-08) and no retry</t>
        </is>
      </c>
      <c r="F8" s="268" t="inlineStr">
        <is>
          <t>Method</t>
        </is>
      </c>
      <c r="G8" s="268" t="inlineStr">
        <is>
          <t>IF-07</t>
        </is>
      </c>
      <c r="H8" s="268" t="n">
        <v>4</v>
      </c>
      <c r="I8" s="268" t="n">
        <v>3</v>
      </c>
      <c r="J8" s="268" t="n">
        <v>12</v>
      </c>
      <c r="K8" s="272" t="inlineStr">
        <is>
          <t>MEDIUM HIGH</t>
        </is>
      </c>
      <c r="L8" s="268" t="inlineStr">
        <is>
          <t>All-or-nothing join at orchestrator; automatic retry with exponential backoff; surface partial to founder as 'Waiting for agent N...'.</t>
        </is>
      </c>
      <c r="M8" s="268" t="n">
        <v>4</v>
      </c>
      <c r="N8" s="268" t="n">
        <v>1</v>
      </c>
      <c r="O8" s="268" t="n">
        <v>4</v>
      </c>
      <c r="P8" s="271" t="inlineStr">
        <is>
          <t>MEDIUM LOW</t>
        </is>
      </c>
      <c r="Q8" s="268" t="inlineStr">
        <is>
          <t>16 hrs</t>
        </is>
      </c>
      <c r="R8" s="268" t="n">
        <v>3</v>
      </c>
      <c r="S8" s="268" t="inlineStr">
        <is>
          <t>Agent-result log shows per-agent status; founder can re-run failing agent only.</t>
        </is>
      </c>
    </row>
    <row r="9">
      <c r="A9" s="268" t="inlineStr">
        <is>
          <t>F.6</t>
        </is>
      </c>
      <c r="B9" s="268" t="inlineStr">
        <is>
          <t>SS3 Agent Orchestrator</t>
        </is>
      </c>
      <c r="C9" s="268" t="inlineStr">
        <is>
          <t>Agent context exceeds EC8=8000 tokens silently</t>
        </is>
      </c>
      <c r="D9" s="268" t="inlineStr">
        <is>
          <t>Provider truncates context; Output quality degrades without warning</t>
        </is>
      </c>
      <c r="E9" s="268" t="inlineStr">
        <is>
          <t>Token counter drifts from provider's tokenizer on long threads</t>
        </is>
      </c>
      <c r="F9" s="268" t="inlineStr">
        <is>
          <t>Material</t>
        </is>
      </c>
      <c r="G9" s="268" t="inlineStr">
        <is>
          <t>IF-07</t>
        </is>
      </c>
      <c r="H9" s="268" t="n">
        <v>3</v>
      </c>
      <c r="I9" s="268" t="n">
        <v>4</v>
      </c>
      <c r="J9" s="268" t="n">
        <v>12</v>
      </c>
      <c r="K9" s="272" t="inlineStr">
        <is>
          <t>MEDIUM HIGH</t>
        </is>
      </c>
      <c r="L9" s="268" t="inlineStr">
        <is>
          <t>Use provider-native tokenizer; hard-reject &gt;7600 token contexts at orchestrator with summarization fallback.</t>
        </is>
      </c>
      <c r="M9" s="268" t="n">
        <v>3</v>
      </c>
      <c r="N9" s="268" t="n">
        <v>2</v>
      </c>
      <c r="O9" s="268" t="n">
        <v>6</v>
      </c>
      <c r="P9" s="269" t="inlineStr">
        <is>
          <t>MEDIUM</t>
        </is>
      </c>
      <c r="Q9" s="268" t="inlineStr">
        <is>
          <t>14 hrs</t>
        </is>
      </c>
      <c r="R9" s="268" t="n">
        <v>4</v>
      </c>
      <c r="S9" s="268" t="inlineStr">
        <is>
          <t>Log token count per IF-07 call; alert on &gt; EC8 * 0.95 within any call.</t>
        </is>
      </c>
    </row>
    <row r="10">
      <c r="A10" s="268" t="inlineStr">
        <is>
          <t>F.7</t>
        </is>
      </c>
      <c r="B10" s="268" t="inlineStr">
        <is>
          <t>SS3 Agent Orchestrator</t>
        </is>
      </c>
      <c r="C10" s="268" t="inlineStr">
        <is>
          <t>Orchestrator cannot recover when LLM chain (SS4) fully fails</t>
        </is>
      </c>
      <c r="D10" s="268" t="inlineStr">
        <is>
          <t>Agent stalls; Founder sees spinner; credit deducted</t>
        </is>
      </c>
      <c r="E10" s="268" t="inlineStr">
        <is>
          <t>Both primary and fallback providers down simultaneously (SS4_PROVIDER_FALLBACK_DEPTH=2)</t>
        </is>
      </c>
      <c r="F10" s="268" t="inlineStr">
        <is>
          <t>Environment</t>
        </is>
      </c>
      <c r="G10" s="268" t="inlineStr">
        <is>
          <t>IF-07</t>
        </is>
      </c>
      <c r="H10" s="268" t="n">
        <v>4</v>
      </c>
      <c r="I10" s="268" t="n">
        <v>1</v>
      </c>
      <c r="J10" s="268" t="n">
        <v>4</v>
      </c>
      <c r="K10" s="271" t="inlineStr">
        <is>
          <t>MEDIUM LOW</t>
        </is>
      </c>
      <c r="L10" s="268" t="inlineStr">
        <is>
          <t>Promote SS4_PROVIDER_FALLBACK_DEPTH to 3; circuit breaker returns friendly error + credit hold after 30s.</t>
        </is>
      </c>
      <c r="M10" s="268" t="n">
        <v>4</v>
      </c>
      <c r="N10" s="268" t="n">
        <v>1</v>
      </c>
      <c r="O10" s="268" t="n">
        <v>4</v>
      </c>
      <c r="P10" s="271" t="inlineStr">
        <is>
          <t>MEDIUM LOW</t>
        </is>
      </c>
      <c r="Q10" s="268" t="inlineStr">
        <is>
          <t>20 hrs</t>
        </is>
      </c>
      <c r="R10" s="268" t="n">
        <v>1</v>
      </c>
      <c r="S10" s="268" t="inlineStr">
        <is>
          <t>Error banner; auto-credit hold; status page link.</t>
        </is>
      </c>
    </row>
    <row r="11">
      <c r="A11" s="268" t="inlineStr">
        <is>
          <t>F.8</t>
        </is>
      </c>
      <c r="B11" s="268" t="inlineStr">
        <is>
          <t>SS4 LLM Provider Layer</t>
        </is>
      </c>
      <c r="C11" s="268" t="inlineStr">
        <is>
          <t>Primary provider outage + fallback depth=2 insufficient</t>
        </is>
      </c>
      <c r="D11" s="268" t="inlineStr">
        <is>
          <t>All LLM calls fail; PC.4 spec-gen time SLA breach</t>
        </is>
      </c>
      <c r="E11" s="268" t="inlineStr">
        <is>
          <t>Anthropic + secondary both degraded in same region</t>
        </is>
      </c>
      <c r="F11" s="268" t="inlineStr">
        <is>
          <t>Environment</t>
        </is>
      </c>
      <c r="G11" s="268" t="inlineStr">
        <is>
          <t>IF-08</t>
        </is>
      </c>
      <c r="H11" s="268" t="n">
        <v>4</v>
      </c>
      <c r="I11" s="268" t="n">
        <v>1</v>
      </c>
      <c r="J11" s="268" t="n">
        <v>4</v>
      </c>
      <c r="K11" s="271" t="inlineStr">
        <is>
          <t>MEDIUM LOW</t>
        </is>
      </c>
      <c r="L11" s="268" t="inlineStr">
        <is>
          <t>Add 3rd provider (OpenAI GPT-4.6 class); multi-region routing; daily provider-health probe.</t>
        </is>
      </c>
      <c r="M11" s="268" t="n">
        <v>4</v>
      </c>
      <c r="N11" s="268" t="n">
        <v>1</v>
      </c>
      <c r="O11" s="268" t="n">
        <v>4</v>
      </c>
      <c r="P11" s="271" t="inlineStr">
        <is>
          <t>MEDIUM LOW</t>
        </is>
      </c>
      <c r="Q11" s="268" t="inlineStr">
        <is>
          <t>40 hrs</t>
        </is>
      </c>
      <c r="R11" s="268" t="n">
        <v>1</v>
      </c>
      <c r="S11" s="268" t="inlineStr">
        <is>
          <t>Status page shows provider state; fallback depth surfaced in metric dashboard.</t>
        </is>
      </c>
    </row>
    <row r="12">
      <c r="A12" s="268" t="inlineStr">
        <is>
          <t>F.9</t>
        </is>
      </c>
      <c r="B12" s="268" t="inlineStr">
        <is>
          <t>SS4 LLM Provider Layer</t>
        </is>
      </c>
      <c r="C12" s="268" t="inlineStr">
        <is>
          <t>Streaming chunk cadence misses EC16=50ms</t>
        </is>
      </c>
      <c r="D12" s="268" t="inlineStr">
        <is>
          <t>Perceived UI lag; Possible client timeout</t>
        </is>
      </c>
      <c r="E12" s="268" t="inlineStr">
        <is>
          <t>Provider-side backpressure during high-load windows</t>
        </is>
      </c>
      <c r="F12" s="268" t="inlineStr">
        <is>
          <t>Environment</t>
        </is>
      </c>
      <c r="G12" s="268" t="inlineStr">
        <is>
          <t>IF-08</t>
        </is>
      </c>
      <c r="H12" s="268" t="n">
        <v>2</v>
      </c>
      <c r="I12" s="268" t="n">
        <v>3</v>
      </c>
      <c r="J12" s="268" t="n">
        <v>6</v>
      </c>
      <c r="K12" s="269" t="inlineStr">
        <is>
          <t>MEDIUM</t>
        </is>
      </c>
      <c r="L12" s="268" t="inlineStr">
        <is>
          <t>Client-side token buffering (40ms); surface 'Provider slow' toast when cadence &gt; 200ms sustained.</t>
        </is>
      </c>
      <c r="M12" s="268" t="n">
        <v>2</v>
      </c>
      <c r="N12" s="268" t="n">
        <v>2</v>
      </c>
      <c r="O12" s="268" t="n">
        <v>4</v>
      </c>
      <c r="P12" s="271" t="inlineStr">
        <is>
          <t>MEDIUM LOW</t>
        </is>
      </c>
      <c r="Q12" s="268" t="inlineStr">
        <is>
          <t>8 hrs</t>
        </is>
      </c>
      <c r="R12" s="268" t="n">
        <v>2</v>
      </c>
      <c r="S12" s="268" t="inlineStr">
        <is>
          <t>p95 cadence dashboard; founder toast on slow stream.</t>
        </is>
      </c>
    </row>
    <row r="13">
      <c r="A13" s="268" t="inlineStr">
        <is>
          <t>F.10</t>
        </is>
      </c>
      <c r="B13" s="268" t="inlineStr">
        <is>
          <t>SS4 LLM Provider Layer</t>
        </is>
      </c>
      <c r="C13" s="268" t="inlineStr">
        <is>
          <t>Malformed tool-call payload from provider</t>
        </is>
      </c>
      <c r="D13" s="268" t="inlineStr">
        <is>
          <t>Orchestrator rejects response; Agent retry storm if not gated</t>
        </is>
      </c>
      <c r="E13" s="268" t="inlineStr">
        <is>
          <t>Provider model upgrade changes tool-call schema silently</t>
        </is>
      </c>
      <c r="F13" s="268" t="inlineStr">
        <is>
          <t>Material</t>
        </is>
      </c>
      <c r="G13" s="268" t="inlineStr">
        <is>
          <t>IF-08</t>
        </is>
      </c>
      <c r="H13" s="268" t="n">
        <v>3</v>
      </c>
      <c r="I13" s="268" t="n">
        <v>2</v>
      </c>
      <c r="J13" s="268" t="n">
        <v>6</v>
      </c>
      <c r="K13" s="269" t="inlineStr">
        <is>
          <t>MEDIUM</t>
        </is>
      </c>
      <c r="L13" s="268" t="inlineStr">
        <is>
          <t>Strict JSON-schema validation on IF-08; version-pinned provider model; retry-once then fail loud.</t>
        </is>
      </c>
      <c r="M13" s="268" t="n">
        <v>3</v>
      </c>
      <c r="N13" s="268" t="n">
        <v>1</v>
      </c>
      <c r="O13" s="268" t="n">
        <v>3</v>
      </c>
      <c r="P13" s="271" t="inlineStr">
        <is>
          <t>MEDIUM LOW</t>
        </is>
      </c>
      <c r="Q13" s="268" t="inlineStr">
        <is>
          <t>10 hrs</t>
        </is>
      </c>
      <c r="R13" s="268" t="n">
        <v>2</v>
      </c>
      <c r="S13" s="268" t="inlineStr">
        <is>
          <t>Schema-mismatch log; provider-model-drift alert on first occurrence.</t>
        </is>
      </c>
    </row>
    <row r="14">
      <c r="A14" s="268" t="inlineStr">
        <is>
          <t>F.11</t>
        </is>
      </c>
      <c r="B14" s="268" t="inlineStr">
        <is>
          <t>SS5 Prompt Cache</t>
        </is>
      </c>
      <c r="C14" s="268" t="inlineStr">
        <is>
          <t>Cache hit returns stale template</t>
        </is>
      </c>
      <c r="D14" s="268" t="inlineStr">
        <is>
          <t>Agent uses out-of-date system prompt; Quality regression</t>
        </is>
      </c>
      <c r="E14" s="268" t="inlineStr">
        <is>
          <t>Template revision deployed but cache keys not invalidated</t>
        </is>
      </c>
      <c r="F14" s="268" t="inlineStr">
        <is>
          <t>Method</t>
        </is>
      </c>
      <c r="G14" s="268" t="inlineStr">
        <is>
          <t>IF-06</t>
        </is>
      </c>
      <c r="H14" s="268" t="n">
        <v>3</v>
      </c>
      <c r="I14" s="268" t="n">
        <v>3</v>
      </c>
      <c r="J14" s="268" t="n">
        <v>9</v>
      </c>
      <c r="K14" s="272" t="inlineStr">
        <is>
          <t>MEDIUM HIGH</t>
        </is>
      </c>
      <c r="L14" s="268" t="inlineStr">
        <is>
          <t>Hash-derived cache keys (template_sha + model_id + context_hash); mandatory invalidation hook on deploy.</t>
        </is>
      </c>
      <c r="M14" s="268" t="n">
        <v>3</v>
      </c>
      <c r="N14" s="268" t="n">
        <v>1</v>
      </c>
      <c r="O14" s="268" t="n">
        <v>3</v>
      </c>
      <c r="P14" s="271" t="inlineStr">
        <is>
          <t>MEDIUM LOW</t>
        </is>
      </c>
      <c r="Q14" s="268" t="inlineStr">
        <is>
          <t>12 hrs</t>
        </is>
      </c>
      <c r="R14" s="268" t="n">
        <v>4</v>
      </c>
      <c r="S14" s="268" t="inlineStr">
        <is>
          <t>Template version in every agent output; mismatch alarm at CI deploy.</t>
        </is>
      </c>
    </row>
    <row r="15">
      <c r="A15" s="268" t="inlineStr">
        <is>
          <t>F.12</t>
        </is>
      </c>
      <c r="B15" s="268" t="inlineStr">
        <is>
          <t>SS5 Prompt Cache</t>
        </is>
      </c>
      <c r="C15" s="268" t="inlineStr">
        <is>
          <t>Cache miss storm on cold start</t>
        </is>
      </c>
      <c r="D15" s="268" t="inlineStr">
        <is>
          <t>EC7=70% hit rate target breached temporarily; Higher LLM spend</t>
        </is>
      </c>
      <c r="E15" s="268" t="inlineStr">
        <is>
          <t>Cold node restart + concurrent founder sessions</t>
        </is>
      </c>
      <c r="F15" s="268" t="inlineStr">
        <is>
          <t>Environment</t>
        </is>
      </c>
      <c r="G15" s="268" t="inlineStr">
        <is>
          <t>IF-10</t>
        </is>
      </c>
      <c r="H15" s="268" t="n">
        <v>1</v>
      </c>
      <c r="I15" s="268" t="n">
        <v>3</v>
      </c>
      <c r="J15" s="268" t="n">
        <v>3</v>
      </c>
      <c r="K15" s="271" t="inlineStr">
        <is>
          <t>MEDIUM LOW</t>
        </is>
      </c>
      <c r="L15" s="268" t="inlineStr">
        <is>
          <t>Warm-up script on deploy; staggered worker rollout; pre-compute top-20 template hashes.</t>
        </is>
      </c>
      <c r="M15" s="268" t="n">
        <v>1</v>
      </c>
      <c r="N15" s="268" t="n">
        <v>1</v>
      </c>
      <c r="O15" s="268" t="n">
        <v>1</v>
      </c>
      <c r="P15" s="270" t="inlineStr">
        <is>
          <t>LOW</t>
        </is>
      </c>
      <c r="Q15" s="268" t="inlineStr">
        <is>
          <t>6 hrs</t>
        </is>
      </c>
      <c r="R15" s="268" t="n">
        <v>2</v>
      </c>
      <c r="S15" s="268" t="inlineStr">
        <is>
          <t>Cache hit-rate dashboard; warm-up completion metric.</t>
        </is>
      </c>
    </row>
    <row r="16">
      <c r="A16" s="268" t="inlineStr">
        <is>
          <t>F.13</t>
        </is>
      </c>
      <c r="B16" s="268" t="inlineStr">
        <is>
          <t>SS6 Spec Generator</t>
        </is>
      </c>
      <c r="C16" s="268" t="inlineStr">
        <is>
          <t>Spec emitted without all required citations (EC10=100% floor violation)</t>
        </is>
      </c>
      <c r="D16" s="268" t="inlineStr">
        <is>
          <t>Hard constraint violation; Founder receives uncitable artifact; Compliance risk</t>
        </is>
      </c>
      <c r="E16" s="268" t="inlineStr">
        <is>
          <t>Citation-check gate bypassed on timeout (IF-12 returns 'unknown' treated as pass)</t>
        </is>
      </c>
      <c r="F16" s="268" t="inlineStr">
        <is>
          <t>Method</t>
        </is>
      </c>
      <c r="G16" s="268" t="inlineStr">
        <is>
          <t>IF-12</t>
        </is>
      </c>
      <c r="H16" s="268" t="n">
        <v>4</v>
      </c>
      <c r="I16" s="268" t="n">
        <v>2</v>
      </c>
      <c r="J16" s="268" t="n">
        <v>8</v>
      </c>
      <c r="K16" s="269" t="inlineStr">
        <is>
          <t>MEDIUM</t>
        </is>
      </c>
      <c r="L16" s="268" t="inlineStr">
        <is>
          <t>IF-12 timeout MUST fail-closed (reject spec); raise CITATION_CHECK_LATENCY_MAX_S to 5 with hard reject on exceed.</t>
        </is>
      </c>
      <c r="M16" s="268" t="n">
        <v>4</v>
      </c>
      <c r="N16" s="268" t="n">
        <v>1</v>
      </c>
      <c r="O16" s="268" t="n">
        <v>4</v>
      </c>
      <c r="P16" s="271" t="inlineStr">
        <is>
          <t>MEDIUM LOW</t>
        </is>
      </c>
      <c r="Q16" s="268" t="inlineStr">
        <is>
          <t>18 hrs</t>
        </is>
      </c>
      <c r="R16" s="268" t="n">
        <v>5</v>
      </c>
      <c r="S16" s="268" t="inlineStr">
        <is>
          <t>Audit-log every citation-gate decision; weekly sampling review flags fail-open anomalies.</t>
        </is>
      </c>
    </row>
    <row r="17">
      <c r="A17" s="268" t="inlineStr">
        <is>
          <t>F.13</t>
        </is>
      </c>
      <c r="B17" s="268" t="inlineStr">
        <is>
          <t>SS6 Spec Generator</t>
        </is>
      </c>
      <c r="C17" s="268" t="inlineStr">
        <is>
          <t>Spec emitted without all required citations (EC10=100% floor violation)</t>
        </is>
      </c>
      <c r="D17" s="268" t="inlineStr">
        <is>
          <t>Hard constraint violation; Founder receives uncitable artifact; Compliance risk</t>
        </is>
      </c>
      <c r="E17" s="268" t="inlineStr">
        <is>
          <t>Citation-check logic contains false-positive due to partial match heuristic</t>
        </is>
      </c>
      <c r="F17" s="268" t="inlineStr">
        <is>
          <t>Method</t>
        </is>
      </c>
      <c r="G17" s="268" t="inlineStr">
        <is>
          <t>IF-12</t>
        </is>
      </c>
      <c r="H17" s="268" t="n">
        <v>4</v>
      </c>
      <c r="I17" s="268" t="n">
        <v>2</v>
      </c>
      <c r="J17" s="268" t="n">
        <v>8</v>
      </c>
      <c r="K17" s="269" t="inlineStr">
        <is>
          <t>MEDIUM</t>
        </is>
      </c>
      <c r="L17" s="268" t="inlineStr">
        <is>
          <t>Exact-match + signed-content-hash check in citation gate; reject on any hash drift.</t>
        </is>
      </c>
      <c r="M17" s="268" t="n">
        <v>4</v>
      </c>
      <c r="N17" s="268" t="n">
        <v>1</v>
      </c>
      <c r="O17" s="268" t="n">
        <v>4</v>
      </c>
      <c r="P17" s="271" t="inlineStr">
        <is>
          <t>MEDIUM LOW</t>
        </is>
      </c>
      <c r="Q17" s="268" t="inlineStr">
        <is>
          <t>20 hrs</t>
        </is>
      </c>
      <c r="R17" s="268" t="n">
        <v>5</v>
      </c>
      <c r="S17" s="268" t="inlineStr">
        <is>
          <t>Nightly replay of 100 random specs against gold-set; red-team sampling.</t>
        </is>
      </c>
    </row>
    <row r="18">
      <c r="A18" s="268" t="inlineStr">
        <is>
          <t>F.14</t>
        </is>
      </c>
      <c r="B18" s="268" t="inlineStr">
        <is>
          <t>SS6 Spec Generator</t>
        </is>
      </c>
      <c r="C18" s="268" t="inlineStr">
        <is>
          <t>Partial spec streamed as valid</t>
        </is>
      </c>
      <c r="D18" s="268" t="inlineStr">
        <is>
          <t>Founder downloads incomplete CLI bundle; CLI emission fails downstream</t>
        </is>
      </c>
      <c r="E18" s="268" t="inlineStr">
        <is>
          <t>Generator streams chunks but aborts without sentinel</t>
        </is>
      </c>
      <c r="F18" s="268" t="inlineStr">
        <is>
          <t>Method</t>
        </is>
      </c>
      <c r="G18" s="268" t="inlineStr">
        <is>
          <t>IF-16</t>
        </is>
      </c>
      <c r="H18" s="268" t="n">
        <v>3</v>
      </c>
      <c r="I18" s="268" t="n">
        <v>2</v>
      </c>
      <c r="J18" s="268" t="n">
        <v>6</v>
      </c>
      <c r="K18" s="269" t="inlineStr">
        <is>
          <t>MEDIUM</t>
        </is>
      </c>
      <c r="L18" s="268" t="inlineStr">
        <is>
          <t>Require spec-complete sentinel; IF-15 emit conditional on sentinel + hash match.</t>
        </is>
      </c>
      <c r="M18" s="268" t="n">
        <v>3</v>
      </c>
      <c r="N18" s="268" t="n">
        <v>1</v>
      </c>
      <c r="O18" s="268" t="n">
        <v>3</v>
      </c>
      <c r="P18" s="271" t="inlineStr">
        <is>
          <t>MEDIUM LOW</t>
        </is>
      </c>
      <c r="Q18" s="268" t="inlineStr">
        <is>
          <t>10 hrs</t>
        </is>
      </c>
      <c r="R18" s="268" t="n">
        <v>2</v>
      </c>
      <c r="S18" s="268" t="inlineStr">
        <is>
          <t>UI shows spec progress bar; hash mismatch blocks CLI emit.</t>
        </is>
      </c>
    </row>
    <row r="19">
      <c r="A19" s="268" t="inlineStr">
        <is>
          <t>F.15</t>
        </is>
      </c>
      <c r="B19" s="268" t="inlineStr">
        <is>
          <t>SS7 Traceback Store</t>
        </is>
      </c>
      <c r="C19" s="268" t="inlineStr">
        <is>
          <t>Stale citation served (invalidation event lost)</t>
        </is>
      </c>
      <c r="D19" s="268" t="inlineStr">
        <is>
          <t>EC9↔EC11 roof pair (-2) manifests; Spec cites outdated vendor docs; Correctness violation</t>
        </is>
      </c>
      <c r="E19" s="268" t="inlineStr">
        <is>
          <t>Fetcher write races cache read; invalidate event dropped on SS7 internal bus</t>
        </is>
      </c>
      <c r="F19" s="268" t="inlineStr">
        <is>
          <t>Method</t>
        </is>
      </c>
      <c r="G19" s="268" t="inlineStr">
        <is>
          <t>IF-14</t>
        </is>
      </c>
      <c r="H19" s="268" t="n">
        <v>4</v>
      </c>
      <c r="I19" s="268" t="n">
        <v>3</v>
      </c>
      <c r="J19" s="268" t="n">
        <v>12</v>
      </c>
      <c r="K19" s="272" t="inlineStr">
        <is>
          <t>MEDIUM HIGH</t>
        </is>
      </c>
      <c r="L19" s="268" t="inlineStr">
        <is>
          <t>Transactional invalidate (cache + fetcher in single TX); outbox pattern with retry; monotonic source_uri version counter.</t>
        </is>
      </c>
      <c r="M19" s="268" t="n">
        <v>4</v>
      </c>
      <c r="N19" s="268" t="n">
        <v>1</v>
      </c>
      <c r="O19" s="268" t="n">
        <v>4</v>
      </c>
      <c r="P19" s="271" t="inlineStr">
        <is>
          <t>MEDIUM LOW</t>
        </is>
      </c>
      <c r="Q19" s="268" t="inlineStr">
        <is>
          <t>24 hrs</t>
        </is>
      </c>
      <c r="R19" s="268" t="n">
        <v>5</v>
      </c>
      <c r="S19" s="268" t="inlineStr">
        <is>
          <t>Every citation stamped with source_version; SS12 warn on stale version served.</t>
        </is>
      </c>
    </row>
    <row r="20">
      <c r="A20" s="268" t="inlineStr">
        <is>
          <t>F.15</t>
        </is>
      </c>
      <c r="B20" s="268" t="inlineStr">
        <is>
          <t>SS7 Traceback Store</t>
        </is>
      </c>
      <c r="C20" s="268" t="inlineStr">
        <is>
          <t>Stale citation served (invalidation event lost)</t>
        </is>
      </c>
      <c r="D20" s="268" t="inlineStr">
        <is>
          <t>EC9↔EC11 roof pair (-2) manifests; Spec cites outdated vendor docs; Correctness violation</t>
        </is>
      </c>
      <c r="E20" s="268" t="inlineStr">
        <is>
          <t>TTL_HOURS=24 permits drift during weekly refresh window (EC11=7d)</t>
        </is>
      </c>
      <c r="F20" s="268" t="inlineStr">
        <is>
          <t>Method</t>
        </is>
      </c>
      <c r="G20" s="268" t="inlineStr">
        <is>
          <t>IF-14</t>
        </is>
      </c>
      <c r="H20" s="268" t="n">
        <v>4</v>
      </c>
      <c r="I20" s="268" t="n">
        <v>4</v>
      </c>
      <c r="J20" s="268" t="n">
        <v>16</v>
      </c>
      <c r="K20" s="273" t="inlineStr">
        <is>
          <t>HIGH</t>
        </is>
      </c>
      <c r="L20" s="268" t="inlineStr">
        <is>
          <t>Reduce TRACEBACK_CACHE_TTL_HOURS to 6 for top-50 most-cited sources; event-driven refresh (webhook) where vendor supports.</t>
        </is>
      </c>
      <c r="M20" s="268" t="n">
        <v>4</v>
      </c>
      <c r="N20" s="268" t="n">
        <v>2</v>
      </c>
      <c r="O20" s="268" t="n">
        <v>8</v>
      </c>
      <c r="P20" s="269" t="inlineStr">
        <is>
          <t>MEDIUM</t>
        </is>
      </c>
      <c r="Q20" s="268" t="inlineStr">
        <is>
          <t>30 hrs</t>
        </is>
      </c>
      <c r="R20" s="268" t="n">
        <v>5</v>
      </c>
      <c r="S20" s="268" t="inlineStr">
        <is>
          <t>Source_version comparison on every read; diff-detector alerts on &gt;5% citation drift.</t>
        </is>
      </c>
    </row>
    <row r="21">
      <c r="A21" s="268" t="inlineStr">
        <is>
          <t>F.16</t>
        </is>
      </c>
      <c r="B21" s="268" t="inlineStr">
        <is>
          <t>SS7 Traceback Store</t>
        </is>
      </c>
      <c r="C21" s="268" t="inlineStr">
        <is>
          <t>Doc fetcher upstream outage</t>
        </is>
      </c>
      <c r="D21" s="268" t="inlineStr">
        <is>
          <t>Citation queries return empty or stale; Spec emission blocked (EC10)</t>
        </is>
      </c>
      <c r="E21" s="268" t="inlineStr">
        <is>
          <t>Vendor doc host returns 500 during scheduled refresh</t>
        </is>
      </c>
      <c r="F21" s="268" t="inlineStr">
        <is>
          <t>Environment</t>
        </is>
      </c>
      <c r="G21" s="268" t="inlineStr">
        <is>
          <t>IF-14</t>
        </is>
      </c>
      <c r="H21" s="268" t="n">
        <v>4</v>
      </c>
      <c r="I21" s="268" t="n">
        <v>2</v>
      </c>
      <c r="J21" s="268" t="n">
        <v>8</v>
      </c>
      <c r="K21" s="269" t="inlineStr">
        <is>
          <t>MEDIUM</t>
        </is>
      </c>
      <c r="L21" s="268" t="inlineStr">
        <is>
          <t>Serve last-known-good (stamped 'stale, x hrs') with founder warning; auto-retry on exponential backoff.</t>
        </is>
      </c>
      <c r="M21" s="268" t="n">
        <v>3</v>
      </c>
      <c r="N21" s="268" t="n">
        <v>1</v>
      </c>
      <c r="O21" s="268" t="n">
        <v>3</v>
      </c>
      <c r="P21" s="271" t="inlineStr">
        <is>
          <t>MEDIUM LOW</t>
        </is>
      </c>
      <c r="Q21" s="268" t="inlineStr">
        <is>
          <t>14 hrs</t>
        </is>
      </c>
      <c r="R21" s="268" t="n">
        <v>2</v>
      </c>
      <c r="S21" s="268" t="inlineStr">
        <is>
          <t>Status page 'vendor docs degraded'; founder sees 'citation freshness: 2h stale'.</t>
        </is>
      </c>
    </row>
    <row r="22">
      <c r="A22" s="268" t="inlineStr">
        <is>
          <t>F.17</t>
        </is>
      </c>
      <c r="B22" s="268" t="inlineStr">
        <is>
          <t>SS7 Traceback Store</t>
        </is>
      </c>
      <c r="C22" s="268" t="inlineStr">
        <is>
          <t>Citation cache miss storm during refresh</t>
        </is>
      </c>
      <c r="D22" s="268" t="inlineStr">
        <is>
          <t>IF-14 latency p95 breaches CITATION_CHECK_LATENCY_MAX_S=3; IF-12 gate triggers fail-closed (F.13 adjacency)</t>
        </is>
      </c>
      <c r="E22" s="268" t="inlineStr">
        <is>
          <t>Scheduled refresh invalidates large batch of entries simultaneously</t>
        </is>
      </c>
      <c r="F22" s="268" t="inlineStr">
        <is>
          <t>Method</t>
        </is>
      </c>
      <c r="G22" s="268" t="inlineStr">
        <is>
          <t>IF-14</t>
        </is>
      </c>
      <c r="H22" s="268" t="n">
        <v>3</v>
      </c>
      <c r="I22" s="268" t="n">
        <v>3</v>
      </c>
      <c r="J22" s="268" t="n">
        <v>9</v>
      </c>
      <c r="K22" s="272" t="inlineStr">
        <is>
          <t>MEDIUM HIGH</t>
        </is>
      </c>
      <c r="L22" s="268" t="inlineStr">
        <is>
          <t>Staggered refresh with 10% jitter; stampede protection (singleflight).</t>
        </is>
      </c>
      <c r="M22" s="268" t="n">
        <v>3</v>
      </c>
      <c r="N22" s="268" t="n">
        <v>1</v>
      </c>
      <c r="O22" s="268" t="n">
        <v>3</v>
      </c>
      <c r="P22" s="271" t="inlineStr">
        <is>
          <t>MEDIUM LOW</t>
        </is>
      </c>
      <c r="Q22" s="268" t="inlineStr">
        <is>
          <t>12 hrs</t>
        </is>
      </c>
      <c r="R22" s="268" t="n">
        <v>2</v>
      </c>
      <c r="S22" s="268" t="inlineStr">
        <is>
          <t>Cache-miss heatmap dashboard; refresh schedule spread over 60 min.</t>
        </is>
      </c>
    </row>
    <row r="23">
      <c r="A23" s="268" t="inlineStr">
        <is>
          <t>F.18</t>
        </is>
      </c>
      <c r="B23" s="268" t="inlineStr">
        <is>
          <t>SS7 Traceback Store</t>
        </is>
      </c>
      <c r="C23" s="268" t="inlineStr">
        <is>
          <t>Citation returned for wrong source_uri (key collision)</t>
        </is>
      </c>
      <c r="D23" s="268" t="inlineStr">
        <is>
          <t>Silently wrong citation in spec; EC10 floor appears met but is false</t>
        </is>
      </c>
      <c r="E23" s="268" t="inlineStr">
        <is>
          <t>Hash function collision between vendor doc paths</t>
        </is>
      </c>
      <c r="F23" s="268" t="inlineStr">
        <is>
          <t>Machine</t>
        </is>
      </c>
      <c r="G23" s="268" t="inlineStr">
        <is>
          <t>IF-14</t>
        </is>
      </c>
      <c r="H23" s="268" t="n">
        <v>4</v>
      </c>
      <c r="I23" s="268" t="n">
        <v>1</v>
      </c>
      <c r="J23" s="268" t="n">
        <v>4</v>
      </c>
      <c r="K23" s="271" t="inlineStr">
        <is>
          <t>MEDIUM LOW</t>
        </is>
      </c>
      <c r="L23" s="268" t="inlineStr">
        <is>
          <t>Composite key (source_uri + sha256 of full URL); probabilistic bound below 1/10^12 collision.</t>
        </is>
      </c>
      <c r="M23" s="268" t="n">
        <v>4</v>
      </c>
      <c r="N23" s="268" t="n">
        <v>1</v>
      </c>
      <c r="O23" s="268" t="n">
        <v>4</v>
      </c>
      <c r="P23" s="271" t="inlineStr">
        <is>
          <t>MEDIUM LOW</t>
        </is>
      </c>
      <c r="Q23" s="268" t="inlineStr">
        <is>
          <t>8 hrs</t>
        </is>
      </c>
      <c r="R23" s="268" t="n">
        <v>5</v>
      </c>
      <c r="S23" s="268" t="inlineStr">
        <is>
          <t>Stored citation payload includes full URL; round-trip verification on hot paths.</t>
        </is>
      </c>
    </row>
    <row r="24">
      <c r="A24" s="268" t="inlineStr">
        <is>
          <t>F.19</t>
        </is>
      </c>
      <c r="B24" s="268" t="inlineStr">
        <is>
          <t>SS8 CLI Bundle Emitter</t>
        </is>
      </c>
      <c r="C24" s="268" t="inlineStr">
        <is>
          <t>CLI push succeeds but audit receipt (IF-16 → IF-25) lost</t>
        </is>
      </c>
      <c r="D24" s="268" t="inlineStr">
        <is>
          <t>Bundle delivered but unauditable; EC18 retention breach possibility</t>
        </is>
      </c>
      <c r="E24" s="268" t="inlineStr">
        <is>
          <t>Async audit write (AUDIT_WRITE_POLICY=best-effort) drops under backpressure</t>
        </is>
      </c>
      <c r="F24" s="268" t="inlineStr">
        <is>
          <t>Method</t>
        </is>
      </c>
      <c r="G24" s="268" t="inlineStr">
        <is>
          <t>IF-25</t>
        </is>
      </c>
      <c r="H24" s="268" t="n">
        <v>3</v>
      </c>
      <c r="I24" s="268" t="n">
        <v>3</v>
      </c>
      <c r="J24" s="268" t="n">
        <v>9</v>
      </c>
      <c r="K24" s="272" t="inlineStr">
        <is>
          <t>MEDIUM HIGH</t>
        </is>
      </c>
      <c r="L24" s="268" t="inlineStr">
        <is>
          <t>Upgrade CLI-emit audit writes to synchronous-durable (blocking); async retained only for probe/telemetry writes (see F.30).</t>
        </is>
      </c>
      <c r="M24" s="268" t="n">
        <v>3</v>
      </c>
      <c r="N24" s="268" t="n">
        <v>1</v>
      </c>
      <c r="O24" s="268" t="n">
        <v>3</v>
      </c>
      <c r="P24" s="271" t="inlineStr">
        <is>
          <t>MEDIUM LOW</t>
        </is>
      </c>
      <c r="Q24" s="268" t="inlineStr">
        <is>
          <t>16 hrs</t>
        </is>
      </c>
      <c r="R24" s="268" t="n">
        <v>4</v>
      </c>
      <c r="S24" s="268" t="inlineStr">
        <is>
          <t>Compliance dashboard counts CLI emits vs. audit rows; daily reconciliation.</t>
        </is>
      </c>
    </row>
    <row r="25">
      <c r="A25" s="268" t="inlineStr">
        <is>
          <t>F.19</t>
        </is>
      </c>
      <c r="B25" s="268" t="inlineStr">
        <is>
          <t>SS8 CLI Bundle Emitter</t>
        </is>
      </c>
      <c r="C25" s="268" t="inlineStr">
        <is>
          <t>CLI push succeeds but audit receipt (IF-16 → IF-25) lost</t>
        </is>
      </c>
      <c r="D25" s="268" t="inlineStr">
        <is>
          <t>Bundle delivered but unauditable; EC18 retention breach possibility</t>
        </is>
      </c>
      <c r="E25" s="268" t="inlineStr">
        <is>
          <t>VCS push succeeds but webhook-ack not received → audit row is labeled 'unconfirmed'</t>
        </is>
      </c>
      <c r="F25" s="268" t="inlineStr">
        <is>
          <t>Environment</t>
        </is>
      </c>
      <c r="G25" s="268" t="inlineStr">
        <is>
          <t>IF-25</t>
        </is>
      </c>
      <c r="H25" s="268" t="n">
        <v>3</v>
      </c>
      <c r="I25" s="268" t="n">
        <v>2</v>
      </c>
      <c r="J25" s="268" t="n">
        <v>6</v>
      </c>
      <c r="K25" s="269" t="inlineStr">
        <is>
          <t>MEDIUM</t>
        </is>
      </c>
      <c r="L25" s="268" t="inlineStr">
        <is>
          <t>Poll VCS for commit SHA confirmation if webhook absent after 30s; update audit row on reconciliation.</t>
        </is>
      </c>
      <c r="M25" s="268" t="n">
        <v>3</v>
      </c>
      <c r="N25" s="268" t="n">
        <v>1</v>
      </c>
      <c r="O25" s="268" t="n">
        <v>3</v>
      </c>
      <c r="P25" s="271" t="inlineStr">
        <is>
          <t>MEDIUM LOW</t>
        </is>
      </c>
      <c r="Q25" s="268" t="inlineStr">
        <is>
          <t>10 hrs</t>
        </is>
      </c>
      <c r="R25" s="268" t="n">
        <v>3</v>
      </c>
      <c r="S25" s="268" t="inlineStr">
        <is>
          <t>Audit row shows 'pending SHA' state; reconciled within 2 min.</t>
        </is>
      </c>
    </row>
    <row r="26">
      <c r="A26" s="268" t="inlineStr">
        <is>
          <t>F.20</t>
        </is>
      </c>
      <c r="B26" s="268" t="inlineStr">
        <is>
          <t>SS8 CLI Bundle Emitter</t>
        </is>
      </c>
      <c r="C26" s="268" t="inlineStr">
        <is>
          <t>CLI bundle exceeds CLI_BUNDLE_SIZE_MB_MAX=5 silently</t>
        </is>
      </c>
      <c r="D26" s="268" t="inlineStr">
        <is>
          <t>VCS rejects push; Founder stuck</t>
        </is>
      </c>
      <c r="E26" s="268" t="inlineStr">
        <is>
          <t>Large spec with many artifacts; no pre-flight size check</t>
        </is>
      </c>
      <c r="F26" s="268" t="inlineStr">
        <is>
          <t>Method</t>
        </is>
      </c>
      <c r="G26" s="268" t="inlineStr">
        <is>
          <t>IF-15</t>
        </is>
      </c>
      <c r="H26" s="268" t="n">
        <v>2</v>
      </c>
      <c r="I26" s="268" t="n">
        <v>2</v>
      </c>
      <c r="J26" s="268" t="n">
        <v>4</v>
      </c>
      <c r="K26" s="271" t="inlineStr">
        <is>
          <t>MEDIUM LOW</t>
        </is>
      </c>
      <c r="L26" s="268" t="inlineStr">
        <is>
          <t>Pre-emit size check; offer founder to trim or chunk into multi-push.</t>
        </is>
      </c>
      <c r="M26" s="268" t="n">
        <v>2</v>
      </c>
      <c r="N26" s="268" t="n">
        <v>1</v>
      </c>
      <c r="O26" s="268" t="n">
        <v>2</v>
      </c>
      <c r="P26" s="270" t="inlineStr">
        <is>
          <t>LOW</t>
        </is>
      </c>
      <c r="Q26" s="268" t="inlineStr">
        <is>
          <t>6 hrs</t>
        </is>
      </c>
      <c r="R26" s="268" t="n">
        <v>1</v>
      </c>
      <c r="S26" s="268" t="inlineStr">
        <is>
          <t>Size shown in UI before emit; blocking toast if over limit.</t>
        </is>
      </c>
    </row>
    <row r="27">
      <c r="A27" s="268" t="inlineStr">
        <is>
          <t>F.21</t>
        </is>
      </c>
      <c r="B27" s="268" t="inlineStr">
        <is>
          <t>SS8 CLI Bundle Emitter</t>
        </is>
      </c>
      <c r="C27" s="268" t="inlineStr">
        <is>
          <t>VCS signer key revoked during emission</t>
        </is>
      </c>
      <c r="D27" s="268" t="inlineStr">
        <is>
          <t>Signed push fails; Founder must reauth</t>
        </is>
      </c>
      <c r="E27" s="268" t="inlineStr">
        <is>
          <t>Credential rotation race with active emission</t>
        </is>
      </c>
      <c r="F27" s="268" t="inlineStr">
        <is>
          <t>Machine</t>
        </is>
      </c>
      <c r="G27" s="268" t="inlineStr">
        <is>
          <t>IF-15</t>
        </is>
      </c>
      <c r="H27" s="268" t="n">
        <v>2</v>
      </c>
      <c r="I27" s="268" t="n">
        <v>1</v>
      </c>
      <c r="J27" s="268" t="n">
        <v>2</v>
      </c>
      <c r="K27" s="270" t="inlineStr">
        <is>
          <t>LOW</t>
        </is>
      </c>
      <c r="L27" s="268" t="inlineStr">
        <is>
          <t>Lock signer key for duration of emission; rotation waits on in-flight ops (max 60s).</t>
        </is>
      </c>
      <c r="M27" s="268" t="n">
        <v>2</v>
      </c>
      <c r="N27" s="268" t="n">
        <v>1</v>
      </c>
      <c r="O27" s="268" t="n">
        <v>2</v>
      </c>
      <c r="P27" s="270" t="inlineStr">
        <is>
          <t>LOW</t>
        </is>
      </c>
      <c r="Q27" s="268" t="inlineStr">
        <is>
          <t>8 hrs</t>
        </is>
      </c>
      <c r="R27" s="268" t="n">
        <v>1</v>
      </c>
      <c r="S27" s="268" t="inlineStr">
        <is>
          <t>Rotation dashboard; failed-push queue with auto-retry.</t>
        </is>
      </c>
    </row>
    <row r="28">
      <c r="A28" s="268" t="inlineStr">
        <is>
          <t>F.22</t>
        </is>
      </c>
      <c r="B28" s="268" t="inlineStr">
        <is>
          <t>SS9 Probe SDK</t>
        </is>
      </c>
      <c r="C28" s="268" t="inlineStr">
        <is>
          <t>Probe exceeds MAX_CUSTOMER_SYSTEM_OVERHEAD_PCT=2% silently</t>
        </is>
      </c>
      <c r="D28" s="268" t="inlineStr">
        <is>
          <t>Contractual + trust-critical breach; Customer-system SLO violation caused by c1v</t>
        </is>
      </c>
      <c r="E28" s="268" t="inlineStr">
        <is>
          <t>IF-18 backpressure ack lost; SS10 never tells SDK to throttle</t>
        </is>
      </c>
      <c r="F28" s="268" t="inlineStr">
        <is>
          <t>Method</t>
        </is>
      </c>
      <c r="G28" s="268" t="inlineStr">
        <is>
          <t>IF-18</t>
        </is>
      </c>
      <c r="H28" s="268" t="n">
        <v>4</v>
      </c>
      <c r="I28" s="268" t="n">
        <v>2</v>
      </c>
      <c r="J28" s="268" t="n">
        <v>8</v>
      </c>
      <c r="K28" s="269" t="inlineStr">
        <is>
          <t>MEDIUM</t>
        </is>
      </c>
      <c r="L28" s="268" t="inlineStr">
        <is>
          <t>SDK-side self-governor: measures local overhead, auto-throttles if SS10 silent for 2*AGGREGATION_WINDOW; kill-switch at 2%.</t>
        </is>
      </c>
      <c r="M28" s="268" t="n">
        <v>4</v>
      </c>
      <c r="N28" s="268" t="n">
        <v>1</v>
      </c>
      <c r="O28" s="268" t="n">
        <v>4</v>
      </c>
      <c r="P28" s="271" t="inlineStr">
        <is>
          <t>MEDIUM LOW</t>
        </is>
      </c>
      <c r="Q28" s="268" t="inlineStr">
        <is>
          <t>32 hrs</t>
        </is>
      </c>
      <c r="R28" s="268" t="n">
        <v>5</v>
      </c>
      <c r="S28" s="268" t="inlineStr">
        <is>
          <t>SDK emits heartbeat with local overhead%; customer-side alert on &gt; 1.5%.</t>
        </is>
      </c>
    </row>
    <row r="29">
      <c r="A29" s="268" t="inlineStr">
        <is>
          <t>F.22</t>
        </is>
      </c>
      <c r="B29" s="268" t="inlineStr">
        <is>
          <t>SS9 Probe SDK</t>
        </is>
      </c>
      <c r="C29" s="268" t="inlineStr">
        <is>
          <t>Probe exceeds MAX_CUSTOMER_SYSTEM_OVERHEAD_PCT=2% silently</t>
        </is>
      </c>
      <c r="D29" s="268" t="inlineStr">
        <is>
          <t>Contractual + trust-critical breach; Customer-system SLO violation caused by c1v</t>
        </is>
      </c>
      <c r="E29" s="268" t="inlineStr">
        <is>
          <t>PROBE_FREQUENCY_PER_MIN=6 interacts with high-churn customer workload</t>
        </is>
      </c>
      <c r="F29" s="268" t="inlineStr">
        <is>
          <t>Environment</t>
        </is>
      </c>
      <c r="G29" s="268" t="inlineStr">
        <is>
          <t>IF-17</t>
        </is>
      </c>
      <c r="H29" s="268" t="n">
        <v>4</v>
      </c>
      <c r="I29" s="268" t="n">
        <v>3</v>
      </c>
      <c r="J29" s="268" t="n">
        <v>12</v>
      </c>
      <c r="K29" s="272" t="inlineStr">
        <is>
          <t>MEDIUM HIGH</t>
        </is>
      </c>
      <c r="L29" s="268" t="inlineStr">
        <is>
          <t>Adaptive probe frequency: SDK reduces to 3/min if local CPU &gt; 70%; ramps back when clear.</t>
        </is>
      </c>
      <c r="M29" s="268" t="n">
        <v>4</v>
      </c>
      <c r="N29" s="268" t="n">
        <v>1</v>
      </c>
      <c r="O29" s="268" t="n">
        <v>4</v>
      </c>
      <c r="P29" s="271" t="inlineStr">
        <is>
          <t>MEDIUM LOW</t>
        </is>
      </c>
      <c r="Q29" s="268" t="inlineStr">
        <is>
          <t>24 hrs</t>
        </is>
      </c>
      <c r="R29" s="268" t="n">
        <v>5</v>
      </c>
      <c r="S29" s="268" t="inlineStr">
        <is>
          <t>Overhead metric per customer deployment; weekly audit report.</t>
        </is>
      </c>
    </row>
    <row r="30">
      <c r="A30" s="268" t="inlineStr">
        <is>
          <t>F.23</t>
        </is>
      </c>
      <c r="B30" s="268" t="inlineStr">
        <is>
          <t>SS9 Probe SDK</t>
        </is>
      </c>
      <c r="C30" s="268" t="inlineStr">
        <is>
          <t>SDK writes to customer system (non-invasiveness / UC11 violation)</t>
        </is>
      </c>
      <c r="D30" s="268" t="inlineStr">
        <is>
          <t>Catastrophic trust violation; Potential data corruption; Legal exposure</t>
        </is>
      </c>
      <c r="E30" s="268" t="inlineStr">
        <is>
          <t>IF-30 delivers write-scope credential in error</t>
        </is>
      </c>
      <c r="F30" s="268" t="inlineStr">
        <is>
          <t>Machine</t>
        </is>
      </c>
      <c r="G30" s="268" t="inlineStr">
        <is>
          <t>IF-30</t>
        </is>
      </c>
      <c r="H30" s="268" t="n">
        <v>4</v>
      </c>
      <c r="I30" s="268" t="n">
        <v>1</v>
      </c>
      <c r="J30" s="268" t="n">
        <v>4</v>
      </c>
      <c r="K30" s="271" t="inlineStr">
        <is>
          <t>MEDIUM LOW</t>
        </is>
      </c>
      <c r="L30" s="268" t="inlineStr">
        <is>
          <t>SDK enforces read-only at SQL/driver layer regardless of credential scope; fail-closed on any write attempt; SBOM-signed SDK binary.</t>
        </is>
      </c>
      <c r="M30" s="268" t="n">
        <v>4</v>
      </c>
      <c r="N30" s="268" t="n">
        <v>1</v>
      </c>
      <c r="O30" s="268" t="n">
        <v>4</v>
      </c>
      <c r="P30" s="271" t="inlineStr">
        <is>
          <t>MEDIUM LOW</t>
        </is>
      </c>
      <c r="Q30" s="268" t="inlineStr">
        <is>
          <t>40 hrs</t>
        </is>
      </c>
      <c r="R30" s="268" t="n">
        <v>4</v>
      </c>
      <c r="S30" s="268" t="inlineStr">
        <is>
          <t>SDK panics on any write attempt; emergency incident process.</t>
        </is>
      </c>
    </row>
    <row r="31">
      <c r="A31" s="268" t="inlineStr">
        <is>
          <t>F.23</t>
        </is>
      </c>
      <c r="B31" s="268" t="inlineStr">
        <is>
          <t>SS9 Probe SDK</t>
        </is>
      </c>
      <c r="C31" s="268" t="inlineStr">
        <is>
          <t>SDK writes to customer system (non-invasiveness / UC11 violation)</t>
        </is>
      </c>
      <c r="D31" s="268" t="inlineStr">
        <is>
          <t>Catastrophic trust violation; Potential data corruption; Legal exposure</t>
        </is>
      </c>
      <c r="E31" s="268" t="inlineStr">
        <is>
          <t>Debug/test code path accidentally shipped with write capability</t>
        </is>
      </c>
      <c r="F31" s="268" t="inlineStr">
        <is>
          <t>Man</t>
        </is>
      </c>
      <c r="G31" s="268" t="inlineStr">
        <is>
          <t>IF-30</t>
        </is>
      </c>
      <c r="H31" s="268" t="n">
        <v>4</v>
      </c>
      <c r="I31" s="268" t="n">
        <v>1</v>
      </c>
      <c r="J31" s="268" t="n">
        <v>4</v>
      </c>
      <c r="K31" s="271" t="inlineStr">
        <is>
          <t>MEDIUM LOW</t>
        </is>
      </c>
      <c r="L31" s="268" t="inlineStr">
        <is>
          <t>Release-build excludes all write syscalls via compile-time feature flag; linter CI gate.</t>
        </is>
      </c>
      <c r="M31" s="268" t="n">
        <v>4</v>
      </c>
      <c r="N31" s="268" t="n">
        <v>1</v>
      </c>
      <c r="O31" s="268" t="n">
        <v>4</v>
      </c>
      <c r="P31" s="271" t="inlineStr">
        <is>
          <t>MEDIUM LOW</t>
        </is>
      </c>
      <c r="Q31" s="268" t="inlineStr">
        <is>
          <t>16 hrs</t>
        </is>
      </c>
      <c r="R31" s="268" t="n">
        <v>3</v>
      </c>
      <c r="S31" s="268" t="inlineStr">
        <is>
          <t>SBOM diff on every release; customer-deploy verifies signed read-only variant.</t>
        </is>
      </c>
    </row>
    <row r="32">
      <c r="A32" s="268" t="inlineStr">
        <is>
          <t>F.24</t>
        </is>
      </c>
      <c r="B32" s="268" t="inlineStr">
        <is>
          <t>SS9 Probe SDK</t>
        </is>
      </c>
      <c r="C32" s="268" t="inlineStr">
        <is>
          <t>Credential leak into customer-visible logs</t>
        </is>
      </c>
      <c r="D32" s="268" t="inlineStr">
        <is>
          <t>Credential exposure; UC11 non-invasiveness violation</t>
        </is>
      </c>
      <c r="E32" s="268" t="inlineStr">
        <is>
          <t>Error stack includes credential in URI</t>
        </is>
      </c>
      <c r="F32" s="268" t="inlineStr">
        <is>
          <t>Man</t>
        </is>
      </c>
      <c r="G32" s="268" t="inlineStr">
        <is>
          <t>IF-30</t>
        </is>
      </c>
      <c r="H32" s="268" t="n">
        <v>4</v>
      </c>
      <c r="I32" s="268" t="n">
        <v>2</v>
      </c>
      <c r="J32" s="268" t="n">
        <v>8</v>
      </c>
      <c r="K32" s="269" t="inlineStr">
        <is>
          <t>MEDIUM</t>
        </is>
      </c>
      <c r="L32" s="268" t="inlineStr">
        <is>
          <t>Credential redaction middleware in SDK log pipeline; structured error without raw URI.</t>
        </is>
      </c>
      <c r="M32" s="268" t="n">
        <v>4</v>
      </c>
      <c r="N32" s="268" t="n">
        <v>1</v>
      </c>
      <c r="O32" s="268" t="n">
        <v>4</v>
      </c>
      <c r="P32" s="271" t="inlineStr">
        <is>
          <t>MEDIUM LOW</t>
        </is>
      </c>
      <c r="Q32" s="268" t="inlineStr">
        <is>
          <t>12 hrs</t>
        </is>
      </c>
      <c r="R32" s="268" t="n">
        <v>4</v>
      </c>
      <c r="S32" s="268" t="inlineStr">
        <is>
          <t>Log-scanner grep for credential pattern in customer deployments.</t>
        </is>
      </c>
    </row>
    <row r="33">
      <c r="A33" s="268" t="inlineStr">
        <is>
          <t>F.25</t>
        </is>
      </c>
      <c r="B33" s="268" t="inlineStr">
        <is>
          <t>SS10 Metrics Collector</t>
        </is>
      </c>
      <c r="C33" s="268" t="inlineStr">
        <is>
          <t>Collector crashes mid-aggregation-window (AGGREGATION_WINDOW_MIN=60)</t>
        </is>
      </c>
      <c r="D33" s="268" t="inlineStr">
        <is>
          <t>Up to 1hr of metrics lost; SDK cfg-push lost (F.22 adjacency)</t>
        </is>
      </c>
      <c r="E33" s="268" t="inlineStr">
        <is>
          <t>OOM from oversized batches</t>
        </is>
      </c>
      <c r="F33" s="268" t="inlineStr">
        <is>
          <t>Machine</t>
        </is>
      </c>
      <c r="G33" s="268" t="inlineStr">
        <is>
          <t>IF-19</t>
        </is>
      </c>
      <c r="H33" s="268" t="n">
        <v>3</v>
      </c>
      <c r="I33" s="268" t="n">
        <v>2</v>
      </c>
      <c r="J33" s="268" t="n">
        <v>6</v>
      </c>
      <c r="K33" s="269" t="inlineStr">
        <is>
          <t>MEDIUM</t>
        </is>
      </c>
      <c r="L33" s="268" t="inlineStr">
        <is>
          <t>Memory-bounded batches; periodic checkpoint-to-disk every 10 min; kubelet restart with state recovery.</t>
        </is>
      </c>
      <c r="M33" s="268" t="n">
        <v>3</v>
      </c>
      <c r="N33" s="268" t="n">
        <v>1</v>
      </c>
      <c r="O33" s="268" t="n">
        <v>3</v>
      </c>
      <c r="P33" s="271" t="inlineStr">
        <is>
          <t>MEDIUM LOW</t>
        </is>
      </c>
      <c r="Q33" s="268" t="inlineStr">
        <is>
          <t>20 hrs</t>
        </is>
      </c>
      <c r="R33" s="268" t="n">
        <v>2</v>
      </c>
      <c r="S33" s="268" t="inlineStr">
        <is>
          <t>Collector health dashboard; crash alert within 30s.</t>
        </is>
      </c>
    </row>
    <row r="34">
      <c r="A34" s="268" t="inlineStr">
        <is>
          <t>F.26</t>
        </is>
      </c>
      <c r="B34" s="268" t="inlineStr">
        <is>
          <t>SS10 Metrics Collector</t>
        </is>
      </c>
      <c r="C34" s="268" t="inlineStr">
        <is>
          <t>Batch never flushes (FLUSH_FALLBACK_BATCH_MIN=10 wrong)</t>
        </is>
      </c>
      <c r="D34" s="268" t="inlineStr">
        <is>
          <t>Stale metrics in SS11; Deviation detection delayed</t>
        </is>
      </c>
      <c r="E34" s="268" t="inlineStr">
        <is>
          <t>Low-traffic customer; batch never reaches 10 before window ends and fallback min set too high</t>
        </is>
      </c>
      <c r="F34" s="268" t="inlineStr">
        <is>
          <t>Method</t>
        </is>
      </c>
      <c r="G34" s="268" t="inlineStr">
        <is>
          <t>IF-19</t>
        </is>
      </c>
      <c r="H34" s="268" t="n">
        <v>2</v>
      </c>
      <c r="I34" s="268" t="n">
        <v>3</v>
      </c>
      <c r="J34" s="268" t="n">
        <v>6</v>
      </c>
      <c r="K34" s="269" t="inlineStr">
        <is>
          <t>MEDIUM</t>
        </is>
      </c>
      <c r="L34" s="268" t="inlineStr">
        <is>
          <t>Sensitivity analysis on FLUSH_FALLBACK_BATCH_MIN; adjust to 3 for low-traffic tier; add time-bound flush (15 min absolute).</t>
        </is>
      </c>
      <c r="M34" s="268" t="n">
        <v>2</v>
      </c>
      <c r="N34" s="268" t="n">
        <v>1</v>
      </c>
      <c r="O34" s="268" t="n">
        <v>2</v>
      </c>
      <c r="P34" s="270" t="inlineStr">
        <is>
          <t>LOW</t>
        </is>
      </c>
      <c r="Q34" s="268" t="inlineStr">
        <is>
          <t>8 hrs</t>
        </is>
      </c>
      <c r="R34" s="268" t="n">
        <v>3</v>
      </c>
      <c r="S34" s="268" t="inlineStr">
        <is>
          <t>Age-of-oldest-pending metric gauge; alert at 20 min.</t>
        </is>
      </c>
    </row>
    <row r="35">
      <c r="A35" s="268" t="inlineStr">
        <is>
          <t>F.27</t>
        </is>
      </c>
      <c r="B35" s="268" t="inlineStr">
        <is>
          <t>SS10 Metrics Collector</t>
        </is>
      </c>
      <c r="C35" s="268" t="inlineStr">
        <is>
          <t>Backpressure reject-on-violation event lost</t>
        </is>
      </c>
      <c r="D35" s="268" t="inlineStr">
        <is>
          <t>SDK continues over budget; F.22 manifests</t>
        </is>
      </c>
      <c r="E35" s="268" t="inlineStr">
        <is>
          <t>IF-18 payload dropped in transport</t>
        </is>
      </c>
      <c r="F35" s="268" t="inlineStr">
        <is>
          <t>Environment</t>
        </is>
      </c>
      <c r="G35" s="268" t="inlineStr">
        <is>
          <t>IF-18</t>
        </is>
      </c>
      <c r="H35" s="268" t="n">
        <v>4</v>
      </c>
      <c r="I35" s="268" t="n">
        <v>2</v>
      </c>
      <c r="J35" s="268" t="n">
        <v>8</v>
      </c>
      <c r="K35" s="269" t="inlineStr">
        <is>
          <t>MEDIUM</t>
        </is>
      </c>
      <c r="L35" s="268" t="inlineStr">
        <is>
          <t>Idempotent backpressure messages with monotonic sequence + SDK-side ack; retry-until-acked with exponential backoff.</t>
        </is>
      </c>
      <c r="M35" s="268" t="n">
        <v>4</v>
      </c>
      <c r="N35" s="268" t="n">
        <v>1</v>
      </c>
      <c r="O35" s="268" t="n">
        <v>4</v>
      </c>
      <c r="P35" s="271" t="inlineStr">
        <is>
          <t>MEDIUM LOW</t>
        </is>
      </c>
      <c r="Q35" s="268" t="inlineStr">
        <is>
          <t>18 hrs</t>
        </is>
      </c>
      <c r="R35" s="268" t="n">
        <v>4</v>
      </c>
      <c r="S35" s="268" t="inlineStr">
        <is>
          <t>Unacked-backpressure-count metric; alert on &gt; 3 outstanding.</t>
        </is>
      </c>
    </row>
    <row r="36">
      <c r="A36" s="268" t="inlineStr">
        <is>
          <t>F.28</t>
        </is>
      </c>
      <c r="B36" s="268" t="inlineStr">
        <is>
          <t>SS11 Metric Store</t>
        </is>
      </c>
      <c r="C36" s="268" t="inlineStr">
        <is>
          <t>Metric write lost (IF-19) under burst</t>
        </is>
      </c>
      <c r="D36" s="268" t="inlineStr">
        <is>
          <t>Data gap in time series; Deviation detection false-negative</t>
        </is>
      </c>
      <c r="E36" s="268" t="inlineStr">
        <is>
          <t>SS10 → SS11 write timeout; no retry</t>
        </is>
      </c>
      <c r="F36" s="268" t="inlineStr">
        <is>
          <t>Method</t>
        </is>
      </c>
      <c r="G36" s="268" t="inlineStr">
        <is>
          <t>IF-19</t>
        </is>
      </c>
      <c r="H36" s="268" t="n">
        <v>2</v>
      </c>
      <c r="I36" s="268" t="n">
        <v>2</v>
      </c>
      <c r="J36" s="268" t="n">
        <v>4</v>
      </c>
      <c r="K36" s="271" t="inlineStr">
        <is>
          <t>MEDIUM LOW</t>
        </is>
      </c>
      <c r="L36" s="268" t="inlineStr">
        <is>
          <t>Local buffer on SS10 with write-ahead log; retry with jitter; reconciler job at 60 min.</t>
        </is>
      </c>
      <c r="M36" s="268" t="n">
        <v>2</v>
      </c>
      <c r="N36" s="268" t="n">
        <v>1</v>
      </c>
      <c r="O36" s="268" t="n">
        <v>2</v>
      </c>
      <c r="P36" s="270" t="inlineStr">
        <is>
          <t>LOW</t>
        </is>
      </c>
      <c r="Q36" s="268" t="inlineStr">
        <is>
          <t>14 hrs</t>
        </is>
      </c>
      <c r="R36" s="268" t="n">
        <v>3</v>
      </c>
      <c r="S36" s="268" t="inlineStr">
        <is>
          <t>Write-success ratio panel; gaps auto-filled with last value + 'interpolated' flag.</t>
        </is>
      </c>
    </row>
    <row r="37">
      <c r="A37" s="268" t="inlineStr">
        <is>
          <t>F.29</t>
        </is>
      </c>
      <c r="B37" s="268" t="inlineStr">
        <is>
          <t>SS11 Metric Store</t>
        </is>
      </c>
      <c r="C37" s="268" t="inlineStr">
        <is>
          <t>Retention truncates data before EC18 window elapses</t>
        </is>
      </c>
      <c r="D37" s="268" t="inlineStr">
        <is>
          <t>Compliance evidence gap; Audit finding</t>
        </is>
      </c>
      <c r="E37" s="268" t="inlineStr">
        <is>
          <t>Retention policy misconfigured</t>
        </is>
      </c>
      <c r="F37" s="268" t="inlineStr">
        <is>
          <t>Method</t>
        </is>
      </c>
      <c r="G37" s="268" t="inlineStr">
        <is>
          <t>IF-20</t>
        </is>
      </c>
      <c r="H37" s="268" t="n">
        <v>4</v>
      </c>
      <c r="I37" s="268" t="n">
        <v>1</v>
      </c>
      <c r="J37" s="268" t="n">
        <v>4</v>
      </c>
      <c r="K37" s="271" t="inlineStr">
        <is>
          <t>MEDIUM LOW</t>
        </is>
      </c>
      <c r="L37" s="268" t="inlineStr">
        <is>
          <t>Retention policy as code; weekly CI diff; retention alarm if records &lt; threshold.</t>
        </is>
      </c>
      <c r="M37" s="268" t="n">
        <v>4</v>
      </c>
      <c r="N37" s="268" t="n">
        <v>1</v>
      </c>
      <c r="O37" s="268" t="n">
        <v>4</v>
      </c>
      <c r="P37" s="271" t="inlineStr">
        <is>
          <t>MEDIUM LOW</t>
        </is>
      </c>
      <c r="Q37" s="268" t="inlineStr">
        <is>
          <t>10 hrs</t>
        </is>
      </c>
      <c r="R37" s="268" t="n">
        <v>3</v>
      </c>
      <c r="S37" s="268" t="inlineStr">
        <is>
          <t>Retention-count dashboard; daily comparison against EC18 window.</t>
        </is>
      </c>
    </row>
    <row r="38">
      <c r="A38" s="268" t="inlineStr">
        <is>
          <t>F.30</t>
        </is>
      </c>
      <c r="B38" s="268" t="inlineStr">
        <is>
          <t>SS12 Recommendation Engine</t>
        </is>
      </c>
      <c r="C38" s="268" t="inlineStr">
        <is>
          <t>Recommendation cites stale traceback (from F.15 adjacency)</t>
        </is>
      </c>
      <c r="D38" s="268" t="inlineStr">
        <is>
          <t>Founder acts on outdated advice; Regression</t>
        </is>
      </c>
      <c r="E38" s="268" t="inlineStr">
        <is>
          <t>SS12 reads SS7 without source_version check</t>
        </is>
      </c>
      <c r="F38" s="268" t="inlineStr">
        <is>
          <t>Method</t>
        </is>
      </c>
      <c r="G38" s="268" t="inlineStr">
        <is>
          <t>IF-22</t>
        </is>
      </c>
      <c r="H38" s="268" t="n">
        <v>3</v>
      </c>
      <c r="I38" s="268" t="n">
        <v>3</v>
      </c>
      <c r="J38" s="268" t="n">
        <v>9</v>
      </c>
      <c r="K38" s="272" t="inlineStr">
        <is>
          <t>MEDIUM HIGH</t>
        </is>
      </c>
      <c r="L38" s="268" t="inlineStr">
        <is>
          <t>All SS12 reads require source_version token; stale responses explicitly flagged to founder.</t>
        </is>
      </c>
      <c r="M38" s="268" t="n">
        <v>3</v>
      </c>
      <c r="N38" s="268" t="n">
        <v>1</v>
      </c>
      <c r="O38" s="268" t="n">
        <v>3</v>
      </c>
      <c r="P38" s="271" t="inlineStr">
        <is>
          <t>MEDIUM LOW</t>
        </is>
      </c>
      <c r="Q38" s="268" t="inlineStr">
        <is>
          <t>10 hrs</t>
        </is>
      </c>
      <c r="R38" s="268" t="n">
        <v>4</v>
      </c>
      <c r="S38" s="268" t="inlineStr">
        <is>
          <t>Every recommendation includes 'citation-as-of' timestamp; warn if &gt; 24h.</t>
        </is>
      </c>
    </row>
    <row r="39">
      <c r="A39" s="268" t="inlineStr">
        <is>
          <t>F.31</t>
        </is>
      </c>
      <c r="B39" s="268" t="inlineStr">
        <is>
          <t>SS12 Recommendation Engine</t>
        </is>
      </c>
      <c r="C39" s="268" t="inlineStr">
        <is>
          <t>Infinite IF-22/IF-23 cycle</t>
        </is>
      </c>
      <c r="D39" s="268" t="inlineStr">
        <is>
          <t>LLM cost runaway; Session hangs</t>
        </is>
      </c>
      <c r="E39" s="268" t="inlineStr">
        <is>
          <t>SS3 re-triggers SS12 without bounded iteration counter</t>
        </is>
      </c>
      <c r="F39" s="268" t="inlineStr">
        <is>
          <t>Method</t>
        </is>
      </c>
      <c r="G39" s="268" t="inlineStr">
        <is>
          <t>IF-23</t>
        </is>
      </c>
      <c r="H39" s="268" t="n">
        <v>3</v>
      </c>
      <c r="I39" s="268" t="n">
        <v>1</v>
      </c>
      <c r="J39" s="268" t="n">
        <v>3</v>
      </c>
      <c r="K39" s="271" t="inlineStr">
        <is>
          <t>MEDIUM LOW</t>
        </is>
      </c>
      <c r="L39" s="268" t="inlineStr">
        <is>
          <t>Hard cap at 3 iterations per session; circuit-breaker opens on exceed; founder-visible notice.</t>
        </is>
      </c>
      <c r="M39" s="268" t="n">
        <v>3</v>
      </c>
      <c r="N39" s="268" t="n">
        <v>1</v>
      </c>
      <c r="O39" s="268" t="n">
        <v>3</v>
      </c>
      <c r="P39" s="271" t="inlineStr">
        <is>
          <t>MEDIUM LOW</t>
        </is>
      </c>
      <c r="Q39" s="268" t="inlineStr">
        <is>
          <t>6 hrs</t>
        </is>
      </c>
      <c r="R39" s="268" t="n">
        <v>2</v>
      </c>
      <c r="S39" s="268" t="inlineStr">
        <is>
          <t>Iteration-count metric per session; breaker state in dashboard.</t>
        </is>
      </c>
    </row>
    <row r="40">
      <c r="A40" s="268" t="inlineStr">
        <is>
          <t>F.32</t>
        </is>
      </c>
      <c r="B40" s="268" t="inlineStr">
        <is>
          <t>SS13 Credential Vault</t>
        </is>
      </c>
      <c r="C40" s="268" t="inlineStr">
        <is>
          <t>Credential rotation while session actively using old credential</t>
        </is>
      </c>
      <c r="D40" s="268" t="inlineStr">
        <is>
          <t>Mid-session auth failure; Founder sees 401 and loses context</t>
        </is>
      </c>
      <c r="E40" s="268" t="inlineStr">
        <is>
          <t>CREDENTIAL_ROTATION_DAYS=90 rotation runs against active session</t>
        </is>
      </c>
      <c r="F40" s="268" t="inlineStr">
        <is>
          <t>Method</t>
        </is>
      </c>
      <c r="G40" s="268" t="inlineStr">
        <is>
          <t>IF-28</t>
        </is>
      </c>
      <c r="H40" s="268" t="n">
        <v>2</v>
      </c>
      <c r="I40" s="268" t="n">
        <v>2</v>
      </c>
      <c r="J40" s="268" t="n">
        <v>4</v>
      </c>
      <c r="K40" s="271" t="inlineStr">
        <is>
          <t>MEDIUM LOW</t>
        </is>
      </c>
      <c r="L40" s="268" t="inlineStr">
        <is>
          <t>Grace window: old credential accepted for 15 min after rotation; session middleware auto-refreshes.</t>
        </is>
      </c>
      <c r="M40" s="268" t="n">
        <v>2</v>
      </c>
      <c r="N40" s="268" t="n">
        <v>1</v>
      </c>
      <c r="O40" s="268" t="n">
        <v>2</v>
      </c>
      <c r="P40" s="270" t="inlineStr">
        <is>
          <t>LOW</t>
        </is>
      </c>
      <c r="Q40" s="268" t="inlineStr">
        <is>
          <t>10 hrs</t>
        </is>
      </c>
      <c r="R40" s="268" t="n">
        <v>1</v>
      </c>
      <c r="S40" s="268" t="inlineStr">
        <is>
          <t>401 on refresh is auto-retried; transparent to founder.</t>
        </is>
      </c>
    </row>
    <row r="41">
      <c r="A41" s="268" t="inlineStr">
        <is>
          <t>F.33</t>
        </is>
      </c>
      <c r="B41" s="268" t="inlineStr">
        <is>
          <t>SS13 Credential Vault</t>
        </is>
      </c>
      <c r="C41" s="268" t="inlineStr">
        <is>
          <t>Vault returns write-scope grant when read-only requested (F.23 cause adjacency)</t>
        </is>
      </c>
      <c r="D41" s="268" t="inlineStr">
        <is>
          <t>Upstream cause of UC11 violation</t>
        </is>
      </c>
      <c r="E41" s="268" t="inlineStr">
        <is>
          <t>Scope enum off-by-one in new credential policy</t>
        </is>
      </c>
      <c r="F41" s="268" t="inlineStr">
        <is>
          <t>Man</t>
        </is>
      </c>
      <c r="G41" s="268" t="inlineStr">
        <is>
          <t>IF-30</t>
        </is>
      </c>
      <c r="H41" s="268" t="n">
        <v>4</v>
      </c>
      <c r="I41" s="268" t="n">
        <v>1</v>
      </c>
      <c r="J41" s="268" t="n">
        <v>4</v>
      </c>
      <c r="K41" s="271" t="inlineStr">
        <is>
          <t>MEDIUM LOW</t>
        </is>
      </c>
      <c r="L41" s="268" t="inlineStr">
        <is>
          <t>Policy-as-code with unit tests for every scope; deny-by-default; mandatory code review gate for policy files.</t>
        </is>
      </c>
      <c r="M41" s="268" t="n">
        <v>4</v>
      </c>
      <c r="N41" s="268" t="n">
        <v>1</v>
      </c>
      <c r="O41" s="268" t="n">
        <v>4</v>
      </c>
      <c r="P41" s="271" t="inlineStr">
        <is>
          <t>MEDIUM LOW</t>
        </is>
      </c>
      <c r="Q41" s="268" t="inlineStr">
        <is>
          <t>20 hrs</t>
        </is>
      </c>
      <c r="R41" s="268" t="n">
        <v>3</v>
      </c>
      <c r="S41" s="268" t="inlineStr">
        <is>
          <t>Policy diff review; canary deploy with scope-assertion in integration tests.</t>
        </is>
      </c>
    </row>
    <row r="42">
      <c r="A42" s="268" t="inlineStr">
        <is>
          <t>F.34</t>
        </is>
      </c>
      <c r="B42" s="268" t="inlineStr">
        <is>
          <t>SS14 Audit Log Store</t>
        </is>
      </c>
      <c r="C42" s="268" t="inlineStr">
        <is>
          <t>Audit event dropped under backpressure (F.19 adjacency)</t>
        </is>
      </c>
      <c r="D42" s="268" t="inlineStr">
        <is>
          <t>Compliance evidence gap; EC18 retention breach</t>
        </is>
      </c>
      <c r="E42" s="268" t="inlineStr">
        <is>
          <t>Best-effort async writes lose events when audit store is saturated</t>
        </is>
      </c>
      <c r="F42" s="268" t="inlineStr">
        <is>
          <t>Method</t>
        </is>
      </c>
      <c r="G42" s="268" t="inlineStr">
        <is>
          <t>IF-24</t>
        </is>
      </c>
      <c r="H42" s="268" t="n">
        <v>3</v>
      </c>
      <c r="I42" s="268" t="n">
        <v>3</v>
      </c>
      <c r="J42" s="268" t="n">
        <v>9</v>
      </c>
      <c r="K42" s="272" t="inlineStr">
        <is>
          <t>MEDIUM HIGH</t>
        </is>
      </c>
      <c r="L42" s="268" t="inlineStr">
        <is>
          <t>Synchronous-durable writes for compliance-critical events (auth, CLI emit, spec emit); best-effort retained only for telemetry.</t>
        </is>
      </c>
      <c r="M42" s="268" t="n">
        <v>3</v>
      </c>
      <c r="N42" s="268" t="n">
        <v>1</v>
      </c>
      <c r="O42" s="268" t="n">
        <v>3</v>
      </c>
      <c r="P42" s="271" t="inlineStr">
        <is>
          <t>MEDIUM LOW</t>
        </is>
      </c>
      <c r="Q42" s="268" t="inlineStr">
        <is>
          <t>22 hrs</t>
        </is>
      </c>
      <c r="R42" s="268" t="n">
        <v>4</v>
      </c>
      <c r="S42" s="268" t="inlineStr">
        <is>
          <t>Audit-write success ratio dashboard; dropped-event counter alert.</t>
        </is>
      </c>
    </row>
    <row r="43">
      <c r="A43" s="268" t="inlineStr">
        <is>
          <t>F.35</t>
        </is>
      </c>
      <c r="B43" s="268" t="inlineStr">
        <is>
          <t>SS14 Audit Log Store</t>
        </is>
      </c>
      <c r="C43" s="268" t="inlineStr">
        <is>
          <t>JSONL schema mismatch after retention migration</t>
        </is>
      </c>
      <c r="D43" s="268" t="inlineStr">
        <is>
          <t>Audit unreadable by downstream tooling; Compliance reporting blocked</t>
        </is>
      </c>
      <c r="E43" s="268" t="inlineStr">
        <is>
          <t>Migration changes field type without versioning</t>
        </is>
      </c>
      <c r="F43" s="268" t="inlineStr">
        <is>
          <t>Method</t>
        </is>
      </c>
      <c r="G43" s="268" t="inlineStr">
        <is>
          <t>IF-26</t>
        </is>
      </c>
      <c r="H43" s="268" t="n">
        <v>3</v>
      </c>
      <c r="I43" s="268" t="n">
        <v>1</v>
      </c>
      <c r="J43" s="268" t="n">
        <v>3</v>
      </c>
      <c r="K43" s="271" t="inlineStr">
        <is>
          <t>MEDIUM LOW</t>
        </is>
      </c>
      <c r="L43" s="268" t="inlineStr">
        <is>
          <t>Schema version field on every record; migration tests against gold-set; compatibility layer reads N and N-1 versions.</t>
        </is>
      </c>
      <c r="M43" s="268" t="n">
        <v>3</v>
      </c>
      <c r="N43" s="268" t="n">
        <v>1</v>
      </c>
      <c r="O43" s="268" t="n">
        <v>3</v>
      </c>
      <c r="P43" s="271" t="inlineStr">
        <is>
          <t>MEDIUM LOW</t>
        </is>
      </c>
      <c r="Q43" s="268" t="inlineStr">
        <is>
          <t>14 hrs</t>
        </is>
      </c>
      <c r="R43" s="268" t="n">
        <v>3</v>
      </c>
      <c r="S43" s="268" t="inlineStr">
        <is>
          <t>Audit-reader CI run against every migration; schema-diff report.</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4" customWidth="1" min="1" max="1"/>
    <col width="18" customWidth="1" min="2" max="2"/>
    <col width="60" customWidth="1" min="3" max="3"/>
  </cols>
  <sheetData>
    <row r="1">
      <c r="A1" t="inlineStr">
        <is>
          <t>Severity Scale (1-4)</t>
        </is>
      </c>
    </row>
    <row r="2">
      <c r="A2" t="inlineStr">
        <is>
          <t>Rating</t>
        </is>
      </c>
      <c r="B2" t="inlineStr">
        <is>
          <t>Label</t>
        </is>
      </c>
      <c r="C2" t="inlineStr">
        <is>
          <t>Conditions</t>
        </is>
      </c>
    </row>
    <row r="3">
      <c r="A3" t="n">
        <v>1</v>
      </c>
      <c r="B3" t="inlineStr">
        <is>
          <t>Negligible</t>
        </is>
      </c>
      <c r="C3" t="inlineStr">
        <is>
          <t>Only internal telemetry affected; no founder-visible symptom
Cost to remediate &lt; 5% of sprint budget
Requires less than 1 day to address
Performance adversely affected by less than 5%
No compliance, security, or data-loss implication</t>
        </is>
      </c>
    </row>
    <row r="4">
      <c r="A4" t="n">
        <v>2</v>
      </c>
      <c r="B4" t="inlineStr">
        <is>
          <t>Marginal</t>
        </is>
      </c>
      <c r="C4" t="inlineStr">
        <is>
          <t>Transient UX degradation that self-heals without founder action
Cost 5-10% of sprint budget
Requires 1-6 days to address
Performance adversely affected by 5-10%
No compliance violation, no data loss</t>
        </is>
      </c>
    </row>
    <row r="5">
      <c r="A5" t="n">
        <v>3</v>
      </c>
      <c r="B5" t="inlineStr">
        <is>
          <t>Critical</t>
        </is>
      </c>
      <c r="C5" t="inlineStr">
        <is>
          <t>Founder blocked on a core flow (intake / spec review / CLI emit) but no data loss
Cost 10-20% of sprint budget
Requires 1-2 weeks to address
Performance adversely affected by 10-20%
SLA breach or near-miss compliance event (recoverable audit gap, no external breach)</t>
        </is>
      </c>
    </row>
    <row r="6">
      <c r="A6" t="n">
        <v>4</v>
      </c>
      <c r="B6" t="inlineStr">
        <is>
          <t>Catastrophic</t>
        </is>
      </c>
      <c r="C6" t="inlineStr">
        <is>
          <t>Violation of any hard constraint: EC10 citation floor, UC11 non-invasiveness, MAX_CUSTOMER_SYSTEM_OVERHEAD_PCT=2%, or EC18 retention
Compliance breach under SOC2 / HIPAA / GDPR / PCI-DSS
Silent data loss, silent wrong-answer, or silent customer-system write
Cost &gt; 20% of sprint budget
Requires more than 2 weeks to address
Performance adversely affected by &gt; 20%</t>
        </is>
      </c>
    </row>
    <row r="7"/>
    <row r="8">
      <c r="A8" t="inlineStr">
        <is>
          <t>Likelihood Scale (1-5)</t>
        </is>
      </c>
    </row>
    <row r="9">
      <c r="A9" t="inlineStr">
        <is>
          <t>Rating</t>
        </is>
      </c>
      <c r="B9" t="inlineStr">
        <is>
          <t>Label</t>
        </is>
      </c>
      <c r="C9" t="inlineStr">
        <is>
          <t>Conditions</t>
        </is>
      </c>
    </row>
    <row r="10">
      <c r="A10" t="n">
        <v>1</v>
      </c>
      <c r="B10" t="inlineStr">
        <is>
          <t>Remote</t>
        </is>
      </c>
      <c r="C10" t="inlineStr">
        <is>
          <t>Occurs less than once per quarter under normal operation</t>
        </is>
      </c>
    </row>
    <row r="11">
      <c r="A11" t="n">
        <v>2</v>
      </c>
      <c r="B11" t="inlineStr">
        <is>
          <t>Unlikely</t>
        </is>
      </c>
      <c r="C11" t="inlineStr">
        <is>
          <t>Occurs between once per fortnight and once per quarter</t>
        </is>
      </c>
    </row>
    <row r="12">
      <c r="A12" t="n">
        <v>3</v>
      </c>
      <c r="B12" t="inlineStr">
        <is>
          <t>Possible</t>
        </is>
      </c>
      <c r="C12" t="inlineStr">
        <is>
          <t>Occurs up to once per week in production</t>
        </is>
      </c>
    </row>
    <row r="13">
      <c r="A13" t="n">
        <v>4</v>
      </c>
      <c r="B13" t="inlineStr">
        <is>
          <t>Likely</t>
        </is>
      </c>
      <c r="C13" t="inlineStr">
        <is>
          <t>Occurs more than once per week
Or in 5-10% of founder sessions</t>
        </is>
      </c>
    </row>
    <row r="14">
      <c r="A14" t="n">
        <v>5</v>
      </c>
      <c r="B14" t="inlineStr">
        <is>
          <t>Frequent</t>
        </is>
      </c>
      <c r="C14" t="inlineStr">
        <is>
          <t>Occurs multiple times per day
Or in more than 10% of founder sessions</t>
        </is>
      </c>
    </row>
    <row r="15"/>
    <row r="16">
      <c r="A16" t="inlineStr">
        <is>
          <t>Criticality Ranges (RPN)</t>
        </is>
      </c>
    </row>
    <row r="17">
      <c r="A17" t="inlineStr">
        <is>
          <t>RPN Range</t>
        </is>
      </c>
      <c r="B17" t="inlineStr">
        <is>
          <t>Category</t>
        </is>
      </c>
      <c r="C17" t="inlineStr">
        <is>
          <t>Color</t>
        </is>
      </c>
    </row>
    <row r="18">
      <c r="A18" t="inlineStr">
        <is>
          <t>15-20</t>
        </is>
      </c>
      <c r="B18" t="inlineStr">
        <is>
          <t>HIGH</t>
        </is>
      </c>
      <c r="C18" t="inlineStr">
        <is>
          <t>Red</t>
        </is>
      </c>
    </row>
    <row r="19">
      <c r="A19" t="inlineStr">
        <is>
          <t>9-14</t>
        </is>
      </c>
      <c r="B19" t="inlineStr">
        <is>
          <t>MEDIUM HIGH</t>
        </is>
      </c>
      <c r="C19" t="inlineStr">
        <is>
          <t>Orange</t>
        </is>
      </c>
    </row>
    <row r="20">
      <c r="A20" t="inlineStr">
        <is>
          <t>5-8</t>
        </is>
      </c>
      <c r="B20" t="inlineStr">
        <is>
          <t>MEDIUM</t>
        </is>
      </c>
      <c r="C20" t="inlineStr">
        <is>
          <t>Yellow</t>
        </is>
      </c>
    </row>
    <row r="21">
      <c r="A21" t="inlineStr">
        <is>
          <t>3-4</t>
        </is>
      </c>
      <c r="B21" t="inlineStr">
        <is>
          <t>MEDIUM LOW</t>
        </is>
      </c>
      <c r="C21" t="inlineStr">
        <is>
          <t>Light Green</t>
        </is>
      </c>
    </row>
    <row r="22">
      <c r="A22" t="inlineStr">
        <is>
          <t>1-2</t>
        </is>
      </c>
      <c r="B22" t="inlineStr">
        <is>
          <t>LOW</t>
        </is>
      </c>
      <c r="C22" t="inlineStr">
        <is>
          <t>Green</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t="inlineStr">
        <is>
          <t>Original risk distribution — cause rows at each (Severity, Likelihood) cell.</t>
        </is>
      </c>
    </row>
    <row r="2"/>
    <row r="3">
      <c r="B3" t="inlineStr">
        <is>
          <t>S=1 Negligible</t>
        </is>
      </c>
      <c r="C3" t="inlineStr">
        <is>
          <t>S=2 Marginal</t>
        </is>
      </c>
      <c r="D3" t="inlineStr">
        <is>
          <t>S=3 Critical</t>
        </is>
      </c>
      <c r="E3" t="inlineStr">
        <is>
          <t>S=4 Catastrophic</t>
        </is>
      </c>
    </row>
    <row r="4">
      <c r="A4" t="inlineStr">
        <is>
          <t>L5</t>
        </is>
      </c>
      <c r="B4" t="n">
        <v>0</v>
      </c>
      <c r="C4" t="n">
        <v>0</v>
      </c>
      <c r="D4" t="n">
        <v>0</v>
      </c>
      <c r="E4" t="n">
        <v>0</v>
      </c>
    </row>
    <row r="5">
      <c r="A5" t="inlineStr">
        <is>
          <t>L4</t>
        </is>
      </c>
      <c r="B5" t="n">
        <v>0</v>
      </c>
      <c r="C5" t="n">
        <v>0</v>
      </c>
      <c r="D5" t="n">
        <v>1</v>
      </c>
      <c r="E5" t="n">
        <v>1</v>
      </c>
    </row>
    <row r="6">
      <c r="A6" t="inlineStr">
        <is>
          <t>L3</t>
        </is>
      </c>
      <c r="B6" t="n">
        <v>1</v>
      </c>
      <c r="C6" t="n">
        <v>3</v>
      </c>
      <c r="D6" t="n">
        <v>5</v>
      </c>
      <c r="E6" t="n">
        <v>4</v>
      </c>
    </row>
    <row r="7">
      <c r="A7" t="inlineStr">
        <is>
          <t>L2</t>
        </is>
      </c>
      <c r="B7" t="n">
        <v>0</v>
      </c>
      <c r="C7" t="n">
        <v>4</v>
      </c>
      <c r="D7" t="n">
        <v>6</v>
      </c>
      <c r="E7" t="n">
        <v>7</v>
      </c>
    </row>
    <row r="8">
      <c r="A8" t="inlineStr">
        <is>
          <t>L1</t>
        </is>
      </c>
      <c r="B8" t="n">
        <v>0</v>
      </c>
      <c r="C8" t="n">
        <v>1</v>
      </c>
      <c r="D8" t="n">
        <v>2</v>
      </c>
      <c r="E8" t="n">
        <v>7</v>
      </c>
    </row>
    <row r="9"/>
    <row r="10">
      <c r="A10" t="inlineStr">
        <is>
          <t>Criticality totals</t>
        </is>
      </c>
    </row>
    <row r="11">
      <c r="A11" t="inlineStr">
        <is>
          <t>HIGH</t>
        </is>
      </c>
      <c r="B11" t="inlineStr">
        <is>
          <t>15-20</t>
        </is>
      </c>
      <c r="C11" t="n">
        <v>1</v>
      </c>
    </row>
    <row r="12">
      <c r="A12" t="inlineStr">
        <is>
          <t>MEDIUM HIGH</t>
        </is>
      </c>
      <c r="B12" t="inlineStr">
        <is>
          <t>9-14</t>
        </is>
      </c>
      <c r="C12" t="n">
        <v>10</v>
      </c>
    </row>
    <row r="13">
      <c r="A13" t="inlineStr">
        <is>
          <t>MEDIUM</t>
        </is>
      </c>
      <c r="B13" t="inlineStr">
        <is>
          <t>5-8</t>
        </is>
      </c>
      <c r="C13" t="n">
        <v>16</v>
      </c>
    </row>
    <row r="14">
      <c r="A14" t="inlineStr">
        <is>
          <t>MEDIUM LOW</t>
        </is>
      </c>
      <c r="B14" t="inlineStr">
        <is>
          <t>3-4</t>
        </is>
      </c>
      <c r="C14" t="n">
        <v>14</v>
      </c>
    </row>
    <row r="15">
      <c r="A15" t="inlineStr">
        <is>
          <t>LOW</t>
        </is>
      </c>
      <c r="B15" t="inlineStr">
        <is>
          <t>1-2</t>
        </is>
      </c>
      <c r="C15" t="n">
        <v>1</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t="inlineStr">
        <is>
          <t>Adjusted risk distribution after proposed corrective actions. Rows without corrective actions retain original ratings.</t>
        </is>
      </c>
    </row>
    <row r="2"/>
    <row r="3">
      <c r="B3" t="inlineStr">
        <is>
          <t>S=1 Negligible</t>
        </is>
      </c>
      <c r="C3" t="inlineStr">
        <is>
          <t>S=2 Marginal</t>
        </is>
      </c>
      <c r="D3" t="inlineStr">
        <is>
          <t>S=3 Critical</t>
        </is>
      </c>
      <c r="E3" t="inlineStr">
        <is>
          <t>S=4 Catastrophic</t>
        </is>
      </c>
    </row>
    <row r="4">
      <c r="A4" t="inlineStr">
        <is>
          <t>L5</t>
        </is>
      </c>
      <c r="B4" t="n">
        <v>0</v>
      </c>
      <c r="C4" t="n">
        <v>0</v>
      </c>
      <c r="D4" t="n">
        <v>0</v>
      </c>
      <c r="E4" t="n">
        <v>0</v>
      </c>
    </row>
    <row r="5">
      <c r="A5" t="inlineStr">
        <is>
          <t>L4</t>
        </is>
      </c>
      <c r="B5" t="n">
        <v>0</v>
      </c>
      <c r="C5" t="n">
        <v>0</v>
      </c>
      <c r="D5" t="n">
        <v>0</v>
      </c>
      <c r="E5" t="n">
        <v>0</v>
      </c>
    </row>
    <row r="6">
      <c r="A6" t="inlineStr">
        <is>
          <t>L3</t>
        </is>
      </c>
      <c r="B6" t="n">
        <v>0</v>
      </c>
      <c r="C6" t="n">
        <v>0</v>
      </c>
      <c r="D6" t="n">
        <v>0</v>
      </c>
      <c r="E6" t="n">
        <v>0</v>
      </c>
    </row>
    <row r="7">
      <c r="A7" t="inlineStr">
        <is>
          <t>L2</t>
        </is>
      </c>
      <c r="B7" t="n">
        <v>0</v>
      </c>
      <c r="C7" t="n">
        <v>1</v>
      </c>
      <c r="D7" t="n">
        <v>1</v>
      </c>
      <c r="E7" t="n">
        <v>1</v>
      </c>
    </row>
    <row r="8">
      <c r="A8" t="inlineStr">
        <is>
          <t>L1</t>
        </is>
      </c>
      <c r="B8" t="n">
        <v>1</v>
      </c>
      <c r="C8" t="n">
        <v>7</v>
      </c>
      <c r="D8" t="n">
        <v>14</v>
      </c>
      <c r="E8" t="n">
        <v>17</v>
      </c>
    </row>
    <row r="9"/>
    <row r="10">
      <c r="A10" t="inlineStr">
        <is>
          <t>Criticality totals</t>
        </is>
      </c>
    </row>
    <row r="11">
      <c r="A11" t="inlineStr">
        <is>
          <t>HIGH</t>
        </is>
      </c>
      <c r="B11" t="inlineStr">
        <is>
          <t>15-20</t>
        </is>
      </c>
      <c r="C11" t="n">
        <v>0</v>
      </c>
    </row>
    <row r="12">
      <c r="A12" t="inlineStr">
        <is>
          <t>MEDIUM HIGH</t>
        </is>
      </c>
      <c r="B12" t="inlineStr">
        <is>
          <t>9-14</t>
        </is>
      </c>
      <c r="C12" t="n">
        <v>0</v>
      </c>
    </row>
    <row r="13">
      <c r="A13" t="inlineStr">
        <is>
          <t>MEDIUM</t>
        </is>
      </c>
      <c r="B13" t="inlineStr">
        <is>
          <t>5-8</t>
        </is>
      </c>
      <c r="C13" t="n">
        <v>2</v>
      </c>
    </row>
    <row r="14">
      <c r="A14" t="inlineStr">
        <is>
          <t>MEDIUM LOW</t>
        </is>
      </c>
      <c r="B14" t="inlineStr">
        <is>
          <t>3-4</t>
        </is>
      </c>
      <c r="C14" t="n">
        <v>32</v>
      </c>
    </row>
    <row r="15">
      <c r="A15" t="inlineStr">
        <is>
          <t>LOW</t>
        </is>
      </c>
      <c r="B15" t="inlineStr">
        <is>
          <t>1-2</t>
        </is>
      </c>
      <c r="C15" t="n">
        <v>8</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38" customWidth="1" min="3" max="3"/>
    <col width="40" customWidth="1" min="4" max="4"/>
    <col width="42" customWidth="1" min="5" max="5"/>
    <col width="10" customWidth="1" min="6" max="6"/>
    <col width="10" customWidth="1" min="7" max="7"/>
    <col width="8" customWidth="1" min="8" max="8"/>
    <col width="10" customWidth="1" min="9" max="9"/>
    <col width="6" customWidth="1" min="10" max="10"/>
    <col width="14" customWidth="1" min="11" max="11"/>
    <col width="50" customWidth="1" min="12" max="12"/>
    <col width="10" customWidth="1" min="13" max="13"/>
    <col width="11" customWidth="1" min="14" max="14"/>
    <col width="9" customWidth="1" min="15" max="15"/>
    <col width="14" customWidth="1" min="16" max="16"/>
    <col width="14" customWidth="1" min="17" max="17"/>
    <col width="11" customWidth="1" min="18" max="18"/>
    <col width="50" customWidth="1" min="19" max="19"/>
  </cols>
  <sheetData>
    <row r="1">
      <c r="A1" s="267" t="inlineStr">
        <is>
          <t>FAILURE MODE ID</t>
        </is>
      </c>
      <c r="B1" s="267" t="inlineStr">
        <is>
          <t>SUBSYSTEM</t>
        </is>
      </c>
      <c r="C1" s="267" t="inlineStr">
        <is>
          <t>FAILURE MODE</t>
        </is>
      </c>
      <c r="D1" s="267" t="inlineStr">
        <is>
          <t>FAILURE EFFECTS</t>
        </is>
      </c>
      <c r="E1" s="267" t="inlineStr">
        <is>
          <t>POSSIBLE CAUSE</t>
        </is>
      </c>
      <c r="F1" s="267" t="inlineStr">
        <is>
          <t>MMMME</t>
        </is>
      </c>
      <c r="G1" s="267" t="inlineStr">
        <is>
          <t>INTERFACE REF</t>
        </is>
      </c>
      <c r="H1" s="267" t="inlineStr">
        <is>
          <t>SEVERITY</t>
        </is>
      </c>
      <c r="I1" s="267" t="inlineStr">
        <is>
          <t>LIKELIHOOD</t>
        </is>
      </c>
      <c r="J1" s="267" t="inlineStr">
        <is>
          <t>RPN</t>
        </is>
      </c>
      <c r="K1" s="267" t="inlineStr">
        <is>
          <t>RISK CRITICALITY</t>
        </is>
      </c>
      <c r="L1" s="267" t="inlineStr">
        <is>
          <t>CORRECTIVE ACTION</t>
        </is>
      </c>
      <c r="M1" s="267" t="inlineStr">
        <is>
          <t>ADJUSTED SEVERITY</t>
        </is>
      </c>
      <c r="N1" s="267" t="inlineStr">
        <is>
          <t>ADJUSTED LIKELIHOOD</t>
        </is>
      </c>
      <c r="O1" s="267" t="inlineStr">
        <is>
          <t>ADJUSTED RPN</t>
        </is>
      </c>
      <c r="P1" s="267" t="inlineStr">
        <is>
          <t>ADJUSTED CRITICALITY</t>
        </is>
      </c>
      <c r="Q1" s="267" t="inlineStr">
        <is>
          <t>CORRECTIVE ACTION EFFORT</t>
        </is>
      </c>
      <c r="R1" s="267" t="inlineStr">
        <is>
          <t>DETECTABILITY</t>
        </is>
      </c>
      <c r="S1" s="267" t="inlineStr">
        <is>
          <t>TROUBLESHOOTING</t>
        </is>
      </c>
    </row>
    <row r="2">
      <c r="A2" s="268" t="inlineStr">
        <is>
          <t>FM.01</t>
        </is>
      </c>
      <c r="B2" s="268" t="inlineStr">
        <is>
          <t>surviving from FM.01 | forms: FR.02(primary); FR.10(audit-cross-cut)</t>
        </is>
      </c>
      <c r="C2" s="268" t="inlineStr">
        <is>
          <t>Spec generation hallucinates citations unsupported by DOCUMENTATION SOURCES</t>
        </is>
      </c>
      <c r="D2" s="268" t="inlineStr">
        <is>
          <t>Founder approves spec with unsourced claims — EC10 citation-floor violation</t>
        </is>
      </c>
      <c r="E2" s="268" t="inlineStr">
        <is>
          <t>Claude Sonnet 4.5 (DN.01-A) drifts; pgvector retrieval miss followed by LLM completion without grounded-retrieval gate enforcement</t>
        </is>
      </c>
      <c r="F2" s="268" t="inlineStr">
        <is>
          <t>Method</t>
        </is>
      </c>
      <c r="G2" s="268" t="n"/>
      <c r="H2" s="268" t="n">
        <v>4</v>
      </c>
      <c r="I2" s="268" t="n">
        <v>2</v>
      </c>
      <c r="J2" s="268" t="n">
        <v>8</v>
      </c>
      <c r="K2" s="269" t="inlineStr">
        <is>
          <t>MEDIUM</t>
        </is>
      </c>
      <c r="L2" s="268" t="inlineStr">
        <is>
          <t>[form:FR.02] Grounded-retrieval gate enforces NFR.01 citation floor (per form_function_map FR.02 description); [nfr:NFR.01] Citation-floor NFR; primary mitigation per fmea_early FM.01.M1; [audit_cross_cut:CC.R02] Audit Event Store FR.10 records spec-emit events for after-the-fact citation review</t>
        </is>
      </c>
      <c r="M2" s="268" t="n">
        <v>4</v>
      </c>
      <c r="N2" s="268" t="n">
        <v>2</v>
      </c>
      <c r="O2" s="268" t="n">
        <v>8</v>
      </c>
      <c r="P2" s="269" t="inlineStr">
        <is>
          <t>MEDIUM</t>
        </is>
      </c>
      <c r="Q2" s="268" t="inlineStr">
        <is>
          <t>committed</t>
        </is>
      </c>
      <c r="R2" s="268" t="n">
        <v>3</v>
      </c>
      <c r="S2" s="268" t="inlineStr">
        <is>
          <t>Detectability remains imperfect — silent hallucinations within retrieved corpus still possible until SR-CORNELL validator agent ships.</t>
        </is>
      </c>
    </row>
    <row r="3">
      <c r="A3" s="268" t="inlineStr">
        <is>
          <t>FM.02</t>
        </is>
      </c>
      <c r="B3" s="268" t="inlineStr">
        <is>
          <t>surviving from FM.02 | forms: FR.04(primary)</t>
        </is>
      </c>
      <c r="C3" s="268" t="inlineStr">
        <is>
          <t>Approval fires without compliance policy check</t>
        </is>
      </c>
      <c r="D3" s="268" t="inlineStr">
        <is>
          <t>Non-compliant spec passes review — potential SOC2/HIPAA/GDPR breach</t>
        </is>
      </c>
      <c r="E3" s="268" t="inlineStr">
        <is>
          <t>DE.14 Compliance Policy not loaded when Review Gate Service (FR.04) evaluates OR.1</t>
        </is>
      </c>
      <c r="F3" s="268" t="inlineStr">
        <is>
          <t>Method</t>
        </is>
      </c>
      <c r="G3" s="268" t="n"/>
      <c r="H3" s="268" t="n">
        <v>4</v>
      </c>
      <c r="I3" s="268" t="n">
        <v>1</v>
      </c>
      <c r="J3" s="268" t="n">
        <v>4</v>
      </c>
      <c r="K3" s="271" t="inlineStr">
        <is>
          <t>MEDIUM LOW</t>
        </is>
      </c>
      <c r="L3" s="268" t="inlineStr">
        <is>
          <t>[form:FR.04] Review Gate Service enforces compliance-policy digest check (NFR.02); [nfr:NFR.02] Compliance-policy digest invariant; [audit_cross_cut:CC.R02] Audit policy version at every review event</t>
        </is>
      </c>
      <c r="M3" s="268" t="n">
        <v>4</v>
      </c>
      <c r="N3" s="268" t="n">
        <v>1</v>
      </c>
      <c r="O3" s="268" t="n">
        <v>4</v>
      </c>
      <c r="P3" s="271" t="inlineStr">
        <is>
          <t>MEDIUM LOW</t>
        </is>
      </c>
      <c r="Q3" s="268" t="inlineStr">
        <is>
          <t>committed</t>
        </is>
      </c>
      <c r="R3" s="268" t="n">
        <v>3</v>
      </c>
      <c r="S3" s="268" t="n"/>
    </row>
    <row r="4">
      <c r="A4" s="268" t="inlineStr">
        <is>
          <t>FM.03</t>
        </is>
      </c>
      <c r="B4" s="268" t="inlineStr">
        <is>
          <t>surviving from FM.03 | forms: FR.04(primary); FR.05(secondary)</t>
        </is>
      </c>
      <c r="C4" s="268" t="inlineStr">
        <is>
          <t>Approved spec handoff corrupts (IF.03 truncation/version-skew)</t>
        </is>
      </c>
      <c r="D4" s="268" t="inlineStr">
        <is>
          <t>CLI bundle emitted from wrong spec version; silent downstream drift</t>
        </is>
      </c>
      <c r="E4" s="268" t="inlineStr">
        <is>
          <t>IF.03 async http-json with idempotency=required + content-addressed spec_id (interface_specs.IF.03) — but version-skew possible if FR.05 emitter caches stale DE.05 across retries</t>
        </is>
      </c>
      <c r="F4" s="268" t="inlineStr">
        <is>
          <t>Method</t>
        </is>
      </c>
      <c r="G4" s="268" t="inlineStr">
        <is>
          <t>IF.03</t>
        </is>
      </c>
      <c r="H4" s="268" t="n">
        <v>3</v>
      </c>
      <c r="I4" s="268" t="n">
        <v>1</v>
      </c>
      <c r="J4" s="268" t="n">
        <v>3</v>
      </c>
      <c r="K4" s="271" t="inlineStr">
        <is>
          <t>MEDIUM LOW</t>
        </is>
      </c>
      <c r="L4" s="268" t="inlineStr">
        <is>
          <t>[interface_contract:IF.03] interface_specs.IF.03 ships idempotency=required + retry max_attempts=3 + content-addressed spec_id check (NFR.03); [nfr:NFR.03] Content-addressed spec_id invariant</t>
        </is>
      </c>
      <c r="M4" s="268" t="n">
        <v>3</v>
      </c>
      <c r="N4" s="268" t="n">
        <v>1</v>
      </c>
      <c r="O4" s="268" t="n">
        <v>3</v>
      </c>
      <c r="P4" s="271" t="inlineStr">
        <is>
          <t>MEDIUM LOW</t>
        </is>
      </c>
      <c r="Q4" s="268" t="inlineStr">
        <is>
          <t>committed</t>
        </is>
      </c>
      <c r="R4" s="268" t="n">
        <v>3</v>
      </c>
      <c r="S4" s="268" t="n"/>
    </row>
    <row r="5">
      <c r="A5" s="268" t="inlineStr">
        <is>
          <t>FM.04</t>
        </is>
      </c>
      <c r="B5" s="268" t="inlineStr">
        <is>
          <t>surviving from FM.04 | forms: FR.06(primary)</t>
        </is>
      </c>
      <c r="C5" s="268" t="inlineStr">
        <is>
          <t>Adapter exceeds non-invasive overhead budget on customer system</t>
        </is>
      </c>
      <c r="D5" s="268" t="inlineStr">
        <is>
          <t>Customer system degraded — UC11 non-invasiveness hard-constraint breach</t>
        </is>
      </c>
      <c r="E5" s="268" t="inlineStr">
        <is>
          <t>Customer-System Adapter (FR.06) self-meter stale or disabled; polling loop crosses MAX_CUSTOMER_SYSTEM_OVERHEAD_PCT=2%</t>
        </is>
      </c>
      <c r="F5" s="268" t="inlineStr">
        <is>
          <t>Method</t>
        </is>
      </c>
      <c r="G5" s="268" t="n"/>
      <c r="H5" s="268" t="n">
        <v>4</v>
      </c>
      <c r="I5" s="268" t="n">
        <v>2</v>
      </c>
      <c r="J5" s="268" t="n">
        <v>8</v>
      </c>
      <c r="K5" s="269" t="inlineStr">
        <is>
          <t>MEDIUM</t>
        </is>
      </c>
      <c r="L5" s="268" t="inlineStr">
        <is>
          <t>[form:FR.06] Self-meter against NFR.04 budget; refuse to start if &gt; 2%; [nfr:NFR.04] MAX_CUSTOMER_SYSTEM_OVERHEAD_PCT=2 hard cap</t>
        </is>
      </c>
      <c r="M5" s="268" t="n">
        <v>4</v>
      </c>
      <c r="N5" s="268" t="n">
        <v>2</v>
      </c>
      <c r="O5" s="268" t="n">
        <v>8</v>
      </c>
      <c r="P5" s="269" t="inlineStr">
        <is>
          <t>MEDIUM</t>
        </is>
      </c>
      <c r="Q5" s="268" t="inlineStr">
        <is>
          <t>partial</t>
        </is>
      </c>
      <c r="R5" s="268" t="n">
        <v>2</v>
      </c>
      <c r="S5" s="268" t="inlineStr">
        <is>
          <t>Sampled-vs-full-fidelity ingest tradeoff (fmea_early.FM.04.M2) NOT yet committed — customer overhead under burst load still possible.</t>
        </is>
      </c>
    </row>
    <row r="6">
      <c r="A6" s="268" t="inlineStr">
        <is>
          <t>FM.05</t>
        </is>
      </c>
      <c r="B6" s="268" t="inlineStr">
        <is>
          <t>surviving from FM.05 | forms: FR.07(primary)</t>
        </is>
      </c>
      <c r="C6" s="268" t="inlineStr">
        <is>
          <t>Metric stream gap undetected (silent loss)</t>
        </is>
      </c>
      <c r="D6" s="268" t="inlineStr">
        <is>
          <t>F.6 Recommendation Engine (FR.08) issues recommendations on stale data; silent wrong-answer mode</t>
        </is>
      </c>
      <c r="E6" s="268" t="inlineStr">
        <is>
          <t>OBSERVABILITY TOOLS outage; FR.07 Metric Ingest Service heartbeat emitter degraded</t>
        </is>
      </c>
      <c r="F6" s="268" t="inlineStr">
        <is>
          <t>Method</t>
        </is>
      </c>
      <c r="G6" s="268" t="n"/>
      <c r="H6" s="268" t="n">
        <v>3</v>
      </c>
      <c r="I6" s="268" t="n">
        <v>3</v>
      </c>
      <c r="J6" s="268" t="n">
        <v>9</v>
      </c>
      <c r="K6" s="272" t="inlineStr">
        <is>
          <t>MEDIUM HIGH</t>
        </is>
      </c>
      <c r="L6" s="268" t="inlineStr">
        <is>
          <t>[form:FR.07] Heartbeat + gap-marker pipeline (NFR.05) over DE.08; [nfr:NFR.05] Stream-gap detection invariant; [form:FR.08] Recommendation Engine refuses to recommend on stale window per fmea_early FM.05.M1</t>
        </is>
      </c>
      <c r="M6" s="268" t="n">
        <v>3</v>
      </c>
      <c r="N6" s="268" t="n">
        <v>3</v>
      </c>
      <c r="O6" s="268" t="n">
        <v>9</v>
      </c>
      <c r="P6" s="272" t="inlineStr">
        <is>
          <t>MEDIUM HIGH</t>
        </is>
      </c>
      <c r="Q6" s="268" t="inlineStr">
        <is>
          <t>committed</t>
        </is>
      </c>
      <c r="R6" s="268" t="n">
        <v>3</v>
      </c>
      <c r="S6" s="268" t="n"/>
    </row>
    <row r="7">
      <c r="A7" s="268" t="inlineStr">
        <is>
          <t>FM.06</t>
        </is>
      </c>
      <c r="B7" s="268" t="inlineStr">
        <is>
          <t>surviving from FM.06 | forms: FR.08(primary) | DN=DN.03/A@AV.01</t>
        </is>
      </c>
      <c r="C7" s="268" t="inlineStr">
        <is>
          <t>Recommendation cadence exceeds RECOMMENDATION_CADENCE_MIN (60 min, est.)</t>
        </is>
      </c>
      <c r="D7" s="268" t="inlineStr">
        <is>
          <t>Feedback loop latency budget breached — Module 4 open question realized as incident</t>
        </is>
      </c>
      <c r="E7" s="268" t="inlineStr">
        <is>
          <t>F.6 → F.7 in-process IF.10 backpressure absent; LangGraph (DN.03-A) state-machine queue saturation under burst</t>
        </is>
      </c>
      <c r="F7" s="268" t="inlineStr">
        <is>
          <t>Method</t>
        </is>
      </c>
      <c r="G7" s="268" t="n"/>
      <c r="H7" s="268" t="n">
        <v>3</v>
      </c>
      <c r="I7" s="268" t="n">
        <v>2</v>
      </c>
      <c r="J7" s="268" t="n">
        <v>6</v>
      </c>
      <c r="K7" s="269" t="inlineStr">
        <is>
          <t>MEDIUM</t>
        </is>
      </c>
      <c r="L7" s="268" t="inlineStr">
        <is>
          <t>[form:FR.08] Bounded-queue + shed-load policy (FM.06.M1)</t>
        </is>
      </c>
      <c r="M7" s="268" t="n">
        <v>3</v>
      </c>
      <c r="N7" s="268" t="n">
        <v>2</v>
      </c>
      <c r="O7" s="268" t="n">
        <v>6</v>
      </c>
      <c r="P7" s="269" t="inlineStr">
        <is>
          <t>MEDIUM</t>
        </is>
      </c>
      <c r="Q7" s="268" t="inlineStr">
        <is>
          <t>committed</t>
        </is>
      </c>
      <c r="R7" s="268" t="n">
        <v>2</v>
      </c>
      <c r="S7" s="268" t="inlineStr">
        <is>
          <t>RECOMMENDATION_CADENCE_MIN not yet promoted to NFR (FM.06.M2 deferred) — no contract-level enforcement.</t>
        </is>
      </c>
    </row>
    <row r="8">
      <c r="A8" s="268" t="inlineStr">
        <is>
          <t>FM.07</t>
        </is>
      </c>
      <c r="B8" s="268" t="inlineStr">
        <is>
          <t>surviving from FM.07 | forms: FR.09(primary) | DN=DN.02/A@AV.01</t>
        </is>
      </c>
      <c r="C8" s="268" t="inlineStr">
        <is>
          <t>Traceback emits recommendation without complete citation chain</t>
        </is>
      </c>
      <c r="D8" s="268" t="inlineStr">
        <is>
          <t>Auditability criterion fails; downstream NFR-resynth cannot validate rationale</t>
        </is>
      </c>
      <c r="E8" s="268" t="inlineStr">
        <is>
          <t>DE.09 catalog miss in pgvector (DN.02-A); FR.09 Traceback Service falls back to LLM completion without KB anchor</t>
        </is>
      </c>
      <c r="F8" s="268" t="inlineStr">
        <is>
          <t>Method</t>
        </is>
      </c>
      <c r="G8" s="268" t="n"/>
      <c r="H8" s="268" t="n">
        <v>3</v>
      </c>
      <c r="I8" s="268" t="n">
        <v>2</v>
      </c>
      <c r="J8" s="268" t="n">
        <v>6</v>
      </c>
      <c r="K8" s="269" t="inlineStr">
        <is>
          <t>MEDIUM</t>
        </is>
      </c>
      <c r="L8" s="268" t="inlineStr">
        <is>
          <t>[form:FR.09] Fail-closed: Traceback Service refuses to emit DE.10 without all citations resolved (FM.07.M1)</t>
        </is>
      </c>
      <c r="M8" s="268" t="n">
        <v>3</v>
      </c>
      <c r="N8" s="268" t="n">
        <v>2</v>
      </c>
      <c r="O8" s="268" t="n">
        <v>6</v>
      </c>
      <c r="P8" s="269" t="inlineStr">
        <is>
          <t>MEDIUM</t>
        </is>
      </c>
      <c r="Q8" s="268" t="inlineStr">
        <is>
          <t>committed</t>
        </is>
      </c>
      <c r="R8" s="268" t="n">
        <v>2</v>
      </c>
      <c r="S8" s="268" t="n"/>
    </row>
    <row r="9">
      <c r="A9" s="268" t="inlineStr">
        <is>
          <t>FM.08</t>
        </is>
      </c>
      <c r="B9" s="268" t="inlineStr">
        <is>
          <t>surviving from FM.08 | forms: FR.01(primary)</t>
        </is>
      </c>
      <c r="C9" s="268" t="inlineStr">
        <is>
          <t>Session token replay across projects</t>
        </is>
      </c>
      <c r="D9" s="268" t="inlineStr">
        <is>
          <t>Cross-tenant authorization escalation — severe compliance event</t>
        </is>
      </c>
      <c r="E9" s="268" t="inlineStr">
        <is>
          <t>Token scope not bound to project_id in FR.01 Auth Service</t>
        </is>
      </c>
      <c r="F9" s="268" t="inlineStr">
        <is>
          <t>Method</t>
        </is>
      </c>
      <c r="G9" s="268" t="n"/>
      <c r="H9" s="268" t="n">
        <v>4</v>
      </c>
      <c r="I9" s="268" t="n">
        <v>1</v>
      </c>
      <c r="J9" s="268" t="n">
        <v>4</v>
      </c>
      <c r="K9" s="271" t="inlineStr">
        <is>
          <t>MEDIUM LOW</t>
        </is>
      </c>
      <c r="L9" s="268" t="inlineStr">
        <is>
          <t>[form:FR.01] Auth Service binds DE.12 claims to project_id; enforces at every F.N entry via CC.R01 (FM.08.M1); [audit_cross_cut:CC.R01] Per-request authz check against project_id binding</t>
        </is>
      </c>
      <c r="M9" s="268" t="n">
        <v>4</v>
      </c>
      <c r="N9" s="268" t="n">
        <v>1</v>
      </c>
      <c r="O9" s="268" t="n">
        <v>4</v>
      </c>
      <c r="P9" s="271" t="inlineStr">
        <is>
          <t>MEDIUM LOW</t>
        </is>
      </c>
      <c r="Q9" s="268" t="inlineStr">
        <is>
          <t>committed</t>
        </is>
      </c>
      <c r="R9" s="268" t="n">
        <v>4</v>
      </c>
      <c r="S9" s="268" t="n"/>
    </row>
    <row r="10">
      <c r="A10" s="268" t="inlineStr">
        <is>
          <t>FM.09</t>
        </is>
      </c>
      <c r="B10" s="268" t="inlineStr">
        <is>
          <t>surviving from FM.09 | forms: FR.05(primary)</t>
        </is>
      </c>
      <c r="C10" s="268" t="inlineStr">
        <is>
          <t>CLI bundle (DE.06) ships with secrets embedded</t>
        </is>
      </c>
      <c r="D10" s="268" t="inlineStr">
        <is>
          <t>Secret leakage in committed spec artifacts (DE.15) / downstream IDE consumers</t>
        </is>
      </c>
      <c r="E10" s="268" t="inlineStr">
        <is>
          <t>FR.05 CLI Bundle Emitter redaction pass regression; credentials_ref interpolation slips raw secret into DE.15</t>
        </is>
      </c>
      <c r="F10" s="268" t="inlineStr">
        <is>
          <t>Method</t>
        </is>
      </c>
      <c r="G10" s="268" t="inlineStr">
        <is>
          <t>IF.05</t>
        </is>
      </c>
      <c r="H10" s="268" t="n">
        <v>4</v>
      </c>
      <c r="I10" s="268" t="n">
        <v>1</v>
      </c>
      <c r="J10" s="268" t="n">
        <v>4</v>
      </c>
      <c r="K10" s="271" t="inlineStr">
        <is>
          <t>MEDIUM LOW</t>
        </is>
      </c>
      <c r="L10" s="268" t="inlineStr">
        <is>
          <t>[form:FR.05] Redaction pass at F.4 exit; deny-list secret patterns (FM.09.M1); [interface_contract:IF.05] DE.07 payload schema constrains credentials_ref to handles only (FM.09.M2)</t>
        </is>
      </c>
      <c r="M10" s="268" t="n">
        <v>4</v>
      </c>
      <c r="N10" s="268" t="n">
        <v>1</v>
      </c>
      <c r="O10" s="268" t="n">
        <v>4</v>
      </c>
      <c r="P10" s="271" t="inlineStr">
        <is>
          <t>MEDIUM LOW</t>
        </is>
      </c>
      <c r="Q10" s="268" t="inlineStr">
        <is>
          <t>committed</t>
        </is>
      </c>
      <c r="R10" s="268" t="n">
        <v>3</v>
      </c>
      <c r="S10" s="268" t="n"/>
    </row>
    <row r="11">
      <c r="A11" s="268" t="inlineStr">
        <is>
          <t>FM.10</t>
        </is>
      </c>
      <c r="B11" s="268" t="inlineStr">
        <is>
          <t>surviving from FM.10 | forms: FR.10(audit-cross-cut)</t>
        </is>
      </c>
      <c r="C11" s="268" t="inlineStr">
        <is>
          <t>Audit event not emitted for state-mutating F.N</t>
        </is>
      </c>
      <c r="D11" s="268" t="inlineStr">
        <is>
          <t>Audit gap; EC18 retention promise not satisfied</t>
        </is>
      </c>
      <c r="E11" s="268" t="inlineStr">
        <is>
          <t>Audit Event Store (FR.10) cross-cut wrapping not applied to a new F.N added after schema lock</t>
        </is>
      </c>
      <c r="F11" s="268" t="inlineStr">
        <is>
          <t>Method</t>
        </is>
      </c>
      <c r="G11" s="268" t="n"/>
      <c r="H11" s="268" t="n">
        <v>3</v>
      </c>
      <c r="I11" s="268" t="n">
        <v>1</v>
      </c>
      <c r="J11" s="268" t="n">
        <v>3</v>
      </c>
      <c r="K11" s="271" t="inlineStr">
        <is>
          <t>MEDIUM LOW</t>
        </is>
      </c>
      <c r="L11" s="268" t="inlineStr">
        <is>
          <t>[form:FR.10] Audit Event Store wraps F.2/F.3/F.4/F.5/F.6 state mutations (form_function_map.FR.10.realizes_functions); [audit_cross_cut:CC.R02] Lint rule on ffbd.v1 — every state-mutating F.N must carry CC.R02 in source_cc</t>
        </is>
      </c>
      <c r="M11" s="268" t="n">
        <v>3</v>
      </c>
      <c r="N11" s="268" t="n">
        <v>1</v>
      </c>
      <c r="O11" s="268" t="n">
        <v>3</v>
      </c>
      <c r="P11" s="271" t="inlineStr">
        <is>
          <t>MEDIUM LOW</t>
        </is>
      </c>
      <c r="Q11" s="268" t="inlineStr">
        <is>
          <t>committed</t>
        </is>
      </c>
      <c r="R11" s="268" t="n">
        <v>3</v>
      </c>
      <c r="S11" s="268" t="n"/>
    </row>
    <row r="12">
      <c r="A12" s="268" t="inlineStr">
        <is>
          <t>FM.11</t>
        </is>
      </c>
      <c r="B12" s="268" t="inlineStr">
        <is>
          <t>surviving from FM.11 | forms: FR.02(primary); FR.09(secondary)</t>
        </is>
      </c>
      <c r="C12" s="268" t="inlineStr">
        <is>
          <t>Recommendation loop (DE.10 → F.2) creates specification drift</t>
        </is>
      </c>
      <c r="D12" s="268" t="inlineStr">
        <is>
          <t>Specs mutate silently under founders; loses trust + auditability</t>
        </is>
      </c>
      <c r="E12" s="268" t="inlineStr">
        <is>
          <t>FR.02 incorporates DE.10 from FR.09 without version-tagging the resulting spec change</t>
        </is>
      </c>
      <c r="F12" s="268" t="inlineStr">
        <is>
          <t>Method</t>
        </is>
      </c>
      <c r="G12" s="268" t="inlineStr">
        <is>
          <t>IF.09</t>
        </is>
      </c>
      <c r="H12" s="268" t="n">
        <v>3</v>
      </c>
      <c r="I12" s="268" t="n">
        <v>2</v>
      </c>
      <c r="J12" s="268" t="n">
        <v>6</v>
      </c>
      <c r="K12" s="269" t="inlineStr">
        <is>
          <t>MEDIUM</t>
        </is>
      </c>
      <c r="L12" s="268" t="inlineStr">
        <is>
          <t>[interface_contract:IF.09] Every recommendation-triggered spec edit bumps version + links DE.10 id in lineage (FM.11.M1)</t>
        </is>
      </c>
      <c r="M12" s="268" t="n">
        <v>3</v>
      </c>
      <c r="N12" s="268" t="n">
        <v>2</v>
      </c>
      <c r="O12" s="268" t="n">
        <v>6</v>
      </c>
      <c r="P12" s="269" t="inlineStr">
        <is>
          <t>MEDIUM</t>
        </is>
      </c>
      <c r="Q12" s="268" t="inlineStr">
        <is>
          <t>committed</t>
        </is>
      </c>
      <c r="R12" s="268" t="n">
        <v>2</v>
      </c>
      <c r="S12" s="268" t="n"/>
    </row>
    <row r="13">
      <c r="A13" s="268" t="inlineStr">
        <is>
          <t>FM.12</t>
        </is>
      </c>
      <c r="B13" s="268" t="inlineStr">
        <is>
          <t>surviving from FM.12 | forms: FR.02(primary); FR.03(fallback) | DN=DN.01/A@AV.01</t>
        </is>
      </c>
      <c r="C13" s="268" t="inlineStr">
        <is>
          <t>LLM provider outage (DE.13 unavailable) halts spec generation</t>
        </is>
      </c>
      <c r="D13" s="268" t="inlineStr">
        <is>
          <t>System unavailability during outage window — availability criterion breach</t>
        </is>
      </c>
      <c r="E13" s="268" t="inlineStr">
        <is>
          <t>Anthropic Claude Sonnet 4.5 (DN.01-A primary) outage; FR.03 fallback LLM provider not warm</t>
        </is>
      </c>
      <c r="F13" s="268" t="inlineStr">
        <is>
          <t>Method</t>
        </is>
      </c>
      <c r="G13" s="268" t="n"/>
      <c r="H13" s="268" t="n">
        <v>2</v>
      </c>
      <c r="I13" s="268" t="n">
        <v>2</v>
      </c>
      <c r="J13" s="268" t="n">
        <v>4</v>
      </c>
      <c r="K13" s="271" t="inlineStr">
        <is>
          <t>MEDIUM LOW</t>
        </is>
      </c>
      <c r="L13" s="268" t="inlineStr">
        <is>
          <t>[form:FR.03] Spec Generator (Fallback LLM) — circuit-breaker fallback when primary DE.13 unavailable. redundancy_source_fm=FM.12 per form_function_map.</t>
        </is>
      </c>
      <c r="M13" s="268" t="n">
        <v>2</v>
      </c>
      <c r="N13" s="268" t="n">
        <v>2</v>
      </c>
      <c r="O13" s="268" t="n">
        <v>4</v>
      </c>
      <c r="P13" s="271" t="inlineStr">
        <is>
          <t>MEDIUM LOW</t>
        </is>
      </c>
      <c r="Q13" s="268" t="inlineStr">
        <is>
          <t>committed</t>
        </is>
      </c>
      <c r="R13" s="268" t="n">
        <v>1</v>
      </c>
      <c r="S13" s="268" t="inlineStr">
        <is>
          <t>FM.12 mitigation crossed redundancy-keyword threshold in T5; FR.03 was added explicitly to discharge it (form_function_map decision_audit DA.02).</t>
        </is>
      </c>
    </row>
    <row r="14">
      <c r="A14" s="268" t="inlineStr">
        <is>
          <t>FM.13</t>
        </is>
      </c>
      <c r="B14" s="268" t="inlineStr">
        <is>
          <t>NEW (chosen-arch only) | forms: FR.02(primary); FR.03(fallback) | DN=DN.01/A@AV.01</t>
        </is>
      </c>
      <c r="C14" s="268" t="inlineStr">
        <is>
          <t>Primary/fallback LLM split-brain: divergent specs on transient primary degradation</t>
        </is>
      </c>
      <c r="D14" s="268" t="inlineStr">
        <is>
          <t>Founder review (FR.04) presented inconsistent spec history; loss of determinism for traceback (FR.09) lineage</t>
        </is>
      </c>
      <c r="E14" s="268" t="inlineStr">
        <is>
          <t>Primary Claude Sonnet 4.5 (FR.02) returns degraded but non-error responses near circuit-breaker threshold; some requests hit fallback (FR.03), others primary, producing two valid-but-divergent draft specs for the same DE.01 founder prompt</t>
        </is>
      </c>
      <c r="F14" s="268" t="inlineStr">
        <is>
          <t>Method</t>
        </is>
      </c>
      <c r="G14" s="268" t="n"/>
      <c r="H14" s="268" t="n">
        <v>3</v>
      </c>
      <c r="I14" s="268" t="n">
        <v>2</v>
      </c>
      <c r="J14" s="268" t="n">
        <v>6</v>
      </c>
      <c r="K14" s="269" t="inlineStr">
        <is>
          <t>MEDIUM</t>
        </is>
      </c>
      <c r="L14" s="268" t="inlineStr">
        <is>
          <t>(none)</t>
        </is>
      </c>
      <c r="M14" s="268" t="n">
        <v>3</v>
      </c>
      <c r="N14" s="268" t="n">
        <v>2</v>
      </c>
      <c r="O14" s="268" t="n">
        <v>6</v>
      </c>
      <c r="P14" s="269" t="inlineStr">
        <is>
          <t>MEDIUM</t>
        </is>
      </c>
      <c r="Q14" s="268" t="inlineStr">
        <is>
          <t>deferred</t>
        </is>
      </c>
      <c r="R14" s="268" t="n">
        <v>4</v>
      </c>
      <c r="S14" s="268" t="inlineStr">
        <is>
          <t>No request-level provider stickiness; circuit-breaker (interface_specs IF.01..IF.10 error_rate_threshold_pct=25) trips at session granularity but does not pin a single founder session to one provider. Recommended next-cycle ADR: pin (founder_id, project_id) → provider for session lifetime.</t>
        </is>
      </c>
    </row>
    <row r="15">
      <c r="A15" s="268" t="inlineStr">
        <is>
          <t>FM.14</t>
        </is>
      </c>
      <c r="B15" s="268" t="inlineStr">
        <is>
          <t>NEW (chosen-arch only) | forms: FR.07(primary); FR.08(secondary) | DN=DN.03/A@AV.01</t>
        </is>
      </c>
      <c r="C15" s="268" t="inlineStr">
        <is>
          <t>Event-bus cascade failure: IF.06 streaming backlog starves IF.10 feedback loop</t>
        </is>
      </c>
      <c r="D15" s="268" t="inlineStr">
        <is>
          <t>Recommendation feedback loop stalls; FM.06 cadence breach amplified beyond shed-load capacity</t>
        </is>
      </c>
      <c r="E15" s="268" t="inlineStr">
        <is>
          <t>LangGraph (DN.03-A) state-machine consumes IF.06 event-bus and IF.10 in-process stream from same async runtime; IF.06 backlog under burst saturates the runtime, blocking IF.10 message dispatch from FR.09 → FR.08</t>
        </is>
      </c>
      <c r="F15" s="268" t="inlineStr">
        <is>
          <t>Method</t>
        </is>
      </c>
      <c r="G15" s="268" t="inlineStr">
        <is>
          <t>IF.06</t>
        </is>
      </c>
      <c r="H15" s="268" t="n">
        <v>3</v>
      </c>
      <c r="I15" s="268" t="n">
        <v>2</v>
      </c>
      <c r="J15" s="268" t="n">
        <v>6</v>
      </c>
      <c r="K15" s="269" t="inlineStr">
        <is>
          <t>MEDIUM</t>
        </is>
      </c>
      <c r="L15" s="268" t="inlineStr">
        <is>
          <t>(none)</t>
        </is>
      </c>
      <c r="M15" s="268" t="n">
        <v>3</v>
      </c>
      <c r="N15" s="268" t="n">
        <v>2</v>
      </c>
      <c r="O15" s="268" t="n">
        <v>6</v>
      </c>
      <c r="P15" s="269" t="inlineStr">
        <is>
          <t>MEDIUM</t>
        </is>
      </c>
      <c r="Q15" s="268" t="inlineStr">
        <is>
          <t>none</t>
        </is>
      </c>
      <c r="R15" s="268" t="n">
        <v>3</v>
      </c>
      <c r="S15" s="268" t="inlineStr">
        <is>
          <t>No isolation between IF.06 and IF.10 runtimes in chosen LangGraph topology. ADR candidate: separate consumer pool for streaming vs in-process interfaces, or migrate IF.06 to dedicated worker process.</t>
        </is>
      </c>
    </row>
    <row r="16">
      <c r="A16" s="268" t="inlineStr">
        <is>
          <t>FM.15</t>
        </is>
      </c>
      <c r="B16" s="268" t="inlineStr">
        <is>
          <t>NEW (chosen-arch only) | forms: FR.09(primary) | DN=DN.02/A@AV.01</t>
        </is>
      </c>
      <c r="C16" s="268" t="inlineStr">
        <is>
          <t>pgvector index drift: HNSW recall degrades silently after corpus growth</t>
        </is>
      </c>
      <c r="D16" s="268" t="inlineStr">
        <is>
          <t>FR.09 Traceback Service silently misses citation matches; FM.07 fail-closed kicks in at higher rate, blocking emit (DE.10) for valid recommendations</t>
        </is>
      </c>
      <c r="E16" s="268" t="inlineStr">
        <is>
          <t>DN.02-A pgvector (Supabase Postgres) HNSW index parameters (m, ef_construction) tuned for initial corpus size; as DE.09 catalog grows past T3 baseline (3289 chunks), recall drops without rebuild. T3 wave-1 noted HNSW as a deferred carry-over.</t>
        </is>
      </c>
      <c r="F16" s="268" t="inlineStr">
        <is>
          <t>Method</t>
        </is>
      </c>
      <c r="G16" s="268" t="n"/>
      <c r="H16" s="268" t="n">
        <v>3</v>
      </c>
      <c r="I16" s="268" t="n">
        <v>3</v>
      </c>
      <c r="J16" s="268" t="n">
        <v>9</v>
      </c>
      <c r="K16" s="272" t="inlineStr">
        <is>
          <t>MEDIUM HIGH</t>
        </is>
      </c>
      <c r="L16" s="268" t="inlineStr">
        <is>
          <t>[form:FR.09] FM.07 fail-closed surfaces missed citations as emit refusals — partial detectability via secondary symptom</t>
        </is>
      </c>
      <c r="M16" s="268" t="n">
        <v>3</v>
      </c>
      <c r="N16" s="268" t="n">
        <v>3</v>
      </c>
      <c r="O16" s="268" t="n">
        <v>9</v>
      </c>
      <c r="P16" s="272" t="inlineStr">
        <is>
          <t>MEDIUM HIGH</t>
        </is>
      </c>
      <c r="Q16" s="268" t="inlineStr">
        <is>
          <t>deferred</t>
        </is>
      </c>
      <c r="R16" s="268" t="n">
        <v>4</v>
      </c>
      <c r="S16" s="268" t="inlineStr">
        <is>
          <t>No periodic recall benchmark scheduled. ADR candidate: add weekly recall@k probe over canonical query set; trigger HNSW rebuild when recall drops below 0.9.</t>
        </is>
      </c>
    </row>
    <row r="17">
      <c r="A17" s="268" t="inlineStr">
        <is>
          <t>FM.16</t>
        </is>
      </c>
      <c r="B17" s="268" t="inlineStr">
        <is>
          <t>NEW (chosen-arch only) | forms: FR.06(primary) | DN=DN.04/A@AV.01</t>
        </is>
      </c>
      <c r="C17" s="268" t="inlineStr">
        <is>
          <t>Vercel cold-start tax violates IF.06 streaming SLA on FR.06 adapter</t>
        </is>
      </c>
      <c r="D17" s="268" t="inlineStr">
        <is>
          <t>Customer metric stream (DE.08) loses leading edge; FR.07 ingest gap-marker fires false-positive, NFR.05 invariant tripped</t>
        </is>
      </c>
      <c r="E17" s="268" t="inlineStr">
        <is>
          <t>DN.04-A Vercel serverless cold-starts on FR.06 Customer-System Adapter exceed IF.06 p95_latency_ms=800 SLA after idle window; first metric burst after wake-up dropped or batched</t>
        </is>
      </c>
      <c r="F17" s="268" t="inlineStr">
        <is>
          <t>Method</t>
        </is>
      </c>
      <c r="G17" s="268" t="n"/>
      <c r="H17" s="268" t="n">
        <v>2</v>
      </c>
      <c r="I17" s="268" t="n">
        <v>3</v>
      </c>
      <c r="J17" s="268" t="n">
        <v>6</v>
      </c>
      <c r="K17" s="269" t="inlineStr">
        <is>
          <t>MEDIUM</t>
        </is>
      </c>
      <c r="L17" s="268" t="inlineStr">
        <is>
          <t>[interface_contract:IF.06] interface_specs IF.06 timeout_ms=1600 + retry max_attempts=3 absorbs first cold-start</t>
        </is>
      </c>
      <c r="M17" s="268" t="n">
        <v>2</v>
      </c>
      <c r="N17" s="268" t="n">
        <v>3</v>
      </c>
      <c r="O17" s="268" t="n">
        <v>6</v>
      </c>
      <c r="P17" s="269" t="inlineStr">
        <is>
          <t>MEDIUM</t>
        </is>
      </c>
      <c r="Q17" s="268" t="inlineStr">
        <is>
          <t>partial</t>
        </is>
      </c>
      <c r="R17" s="268" t="n">
        <v>2</v>
      </c>
      <c r="S17" s="268" t="inlineStr">
        <is>
          <t>Vercel free/pro tier cold-start latency is non-contractual. ADR candidate: warm FR.06 via scheduled ping or migrate FR.06 to long-running Cloud Run (matches identity-api pattern in monorepo recommendation).</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4" customWidth="1" min="1" max="1"/>
    <col width="18" customWidth="1" min="2" max="2"/>
    <col width="60" customWidth="1" min="3" max="3"/>
  </cols>
  <sheetData>
    <row r="1">
      <c r="A1" t="inlineStr">
        <is>
          <t>Severity Scale (1-4)</t>
        </is>
      </c>
    </row>
    <row r="2">
      <c r="A2" t="inlineStr">
        <is>
          <t>Rating</t>
        </is>
      </c>
      <c r="B2" t="inlineStr">
        <is>
          <t>Label</t>
        </is>
      </c>
      <c r="C2" t="inlineStr">
        <is>
          <t>Conditions</t>
        </is>
      </c>
    </row>
    <row r="3">
      <c r="A3" t="n">
        <v>1</v>
      </c>
      <c r="B3" t="inlineStr">
        <is>
          <t>Negligible</t>
        </is>
      </c>
      <c r="C3" t="inlineStr">
        <is>
          <t>Only internal telemetry affected; no founder-visible symptom
Cost to remediate &lt; 5% of sprint budget
Requires less than 1 day to address
Performance adversely affected by less than 5%
No compliance, security, or data-loss implication</t>
        </is>
      </c>
    </row>
    <row r="4">
      <c r="A4" t="n">
        <v>2</v>
      </c>
      <c r="B4" t="inlineStr">
        <is>
          <t>Marginal</t>
        </is>
      </c>
      <c r="C4" t="inlineStr">
        <is>
          <t>Transient UX degradation that self-heals without founder action
Cost 5-10% of sprint budget
Requires 1-6 days to address
Performance adversely affected by 5-10%
No compliance violation, no data loss</t>
        </is>
      </c>
    </row>
    <row r="5">
      <c r="A5" t="n">
        <v>3</v>
      </c>
      <c r="B5" t="inlineStr">
        <is>
          <t>Critical</t>
        </is>
      </c>
      <c r="C5" t="inlineStr">
        <is>
          <t>Founder blocked on a core flow (intake / spec review / CLI emit) but no data loss
Cost 10-20% of sprint budget
Requires 1-2 weeks to address
Performance adversely affected by 10-20%
SLA breach or near-miss compliance event (recoverable audit gap, no external breach)</t>
        </is>
      </c>
    </row>
    <row r="6">
      <c r="A6" t="n">
        <v>4</v>
      </c>
      <c r="B6" t="inlineStr">
        <is>
          <t>Catastrophic</t>
        </is>
      </c>
      <c r="C6" t="inlineStr">
        <is>
          <t>Violation of any hard constraint: EC10 citation floor, UC11 non-invasiveness, MAX_CUSTOMER_SYSTEM_OVERHEAD_PCT=2%, or EC18 retention
Compliance breach under SOC2 / HIPAA / GDPR / PCI-DSS
Silent data loss, silent wrong-answer, or silent customer-system write
Cost &gt; 20% of sprint budget
Requires more than 2 weeks to address
Performance adversely affected by &gt; 20%</t>
        </is>
      </c>
    </row>
    <row r="7"/>
    <row r="8">
      <c r="A8" t="inlineStr">
        <is>
          <t>Likelihood Scale (1-5)</t>
        </is>
      </c>
    </row>
    <row r="9">
      <c r="A9" t="inlineStr">
        <is>
          <t>Rating</t>
        </is>
      </c>
      <c r="B9" t="inlineStr">
        <is>
          <t>Label</t>
        </is>
      </c>
      <c r="C9" t="inlineStr">
        <is>
          <t>Conditions</t>
        </is>
      </c>
    </row>
    <row r="10">
      <c r="A10" t="n">
        <v>1</v>
      </c>
      <c r="B10" t="inlineStr">
        <is>
          <t>Remote</t>
        </is>
      </c>
      <c r="C10" t="inlineStr">
        <is>
          <t>Occurs less than once per quarter under normal operation</t>
        </is>
      </c>
    </row>
    <row r="11">
      <c r="A11" t="n">
        <v>2</v>
      </c>
      <c r="B11" t="inlineStr">
        <is>
          <t>Unlikely</t>
        </is>
      </c>
      <c r="C11" t="inlineStr">
        <is>
          <t>Occurs between once per fortnight and once per quarter</t>
        </is>
      </c>
    </row>
    <row r="12">
      <c r="A12" t="n">
        <v>3</v>
      </c>
      <c r="B12" t="inlineStr">
        <is>
          <t>Possible</t>
        </is>
      </c>
      <c r="C12" t="inlineStr">
        <is>
          <t>Occurs up to once per week in production</t>
        </is>
      </c>
    </row>
    <row r="13">
      <c r="A13" t="n">
        <v>4</v>
      </c>
      <c r="B13" t="inlineStr">
        <is>
          <t>Likely</t>
        </is>
      </c>
      <c r="C13" t="inlineStr">
        <is>
          <t>Occurs more than once per week
Or in 5-10% of founder sessions</t>
        </is>
      </c>
    </row>
    <row r="14">
      <c r="A14" t="n">
        <v>5</v>
      </c>
      <c r="B14" t="inlineStr">
        <is>
          <t>Frequent</t>
        </is>
      </c>
      <c r="C14" t="inlineStr">
        <is>
          <t>Occurs multiple times per day
Or in more than 10% of founder sessions</t>
        </is>
      </c>
    </row>
    <row r="15"/>
    <row r="16">
      <c r="A16" t="inlineStr">
        <is>
          <t>Criticality Ranges (RPN)</t>
        </is>
      </c>
    </row>
    <row r="17">
      <c r="A17" t="inlineStr">
        <is>
          <t>RPN Range</t>
        </is>
      </c>
      <c r="B17" t="inlineStr">
        <is>
          <t>Category</t>
        </is>
      </c>
      <c r="C17" t="inlineStr">
        <is>
          <t>Color</t>
        </is>
      </c>
    </row>
    <row r="18">
      <c r="A18" t="inlineStr">
        <is>
          <t>15-20</t>
        </is>
      </c>
      <c r="B18" t="inlineStr">
        <is>
          <t>HIGH</t>
        </is>
      </c>
      <c r="C18" t="inlineStr">
        <is>
          <t>Red</t>
        </is>
      </c>
    </row>
    <row r="19">
      <c r="A19" t="inlineStr">
        <is>
          <t>9-14</t>
        </is>
      </c>
      <c r="B19" t="inlineStr">
        <is>
          <t>MEDIUM HIGH</t>
        </is>
      </c>
      <c r="C19" t="inlineStr">
        <is>
          <t>Orange</t>
        </is>
      </c>
    </row>
    <row r="20">
      <c r="A20" t="inlineStr">
        <is>
          <t>5-8</t>
        </is>
      </c>
      <c r="B20" t="inlineStr">
        <is>
          <t>MEDIUM</t>
        </is>
      </c>
      <c r="C20" t="inlineStr">
        <is>
          <t>Yellow</t>
        </is>
      </c>
    </row>
    <row r="21">
      <c r="A21" t="inlineStr">
        <is>
          <t>3-4</t>
        </is>
      </c>
      <c r="B21" t="inlineStr">
        <is>
          <t>MEDIUM LOW</t>
        </is>
      </c>
      <c r="C21" t="inlineStr">
        <is>
          <t>Light Green</t>
        </is>
      </c>
    </row>
    <row r="22">
      <c r="A22" t="inlineStr">
        <is>
          <t>1-2</t>
        </is>
      </c>
      <c r="B22" t="inlineStr">
        <is>
          <t>LOW</t>
        </is>
      </c>
      <c r="C22" t="inlineStr">
        <is>
          <t>Green</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t="inlineStr">
        <is>
          <t>Residual risk distribution after chosen architecture commits.</t>
        </is>
      </c>
    </row>
    <row r="2"/>
    <row r="3">
      <c r="B3" t="inlineStr">
        <is>
          <t>S=1 Negligible</t>
        </is>
      </c>
      <c r="C3" t="inlineStr">
        <is>
          <t>S=2 Marginal</t>
        </is>
      </c>
      <c r="D3" t="inlineStr">
        <is>
          <t>S=3 Critical</t>
        </is>
      </c>
      <c r="E3" t="inlineStr">
        <is>
          <t>S=4 Catastrophic</t>
        </is>
      </c>
    </row>
    <row r="4">
      <c r="A4" t="inlineStr">
        <is>
          <t>L5</t>
        </is>
      </c>
      <c r="B4" t="n">
        <v>0</v>
      </c>
      <c r="C4" t="n">
        <v>0</v>
      </c>
      <c r="D4" t="n">
        <v>0</v>
      </c>
      <c r="E4" t="n">
        <v>0</v>
      </c>
    </row>
    <row r="5">
      <c r="A5" t="inlineStr">
        <is>
          <t>L4</t>
        </is>
      </c>
      <c r="B5" t="n">
        <v>0</v>
      </c>
      <c r="C5" t="n">
        <v>0</v>
      </c>
      <c r="D5" t="n">
        <v>0</v>
      </c>
      <c r="E5" t="n">
        <v>0</v>
      </c>
    </row>
    <row r="6">
      <c r="A6" t="inlineStr">
        <is>
          <t>L3</t>
        </is>
      </c>
      <c r="B6" t="n">
        <v>0</v>
      </c>
      <c r="C6" t="n">
        <v>1</v>
      </c>
      <c r="D6" t="n">
        <v>2</v>
      </c>
      <c r="E6" t="n">
        <v>0</v>
      </c>
    </row>
    <row r="7">
      <c r="A7" t="inlineStr">
        <is>
          <t>L2</t>
        </is>
      </c>
      <c r="B7" t="n">
        <v>0</v>
      </c>
      <c r="C7" t="n">
        <v>1</v>
      </c>
      <c r="D7" t="n">
        <v>5</v>
      </c>
      <c r="E7" t="n">
        <v>2</v>
      </c>
    </row>
    <row r="8">
      <c r="A8" t="inlineStr">
        <is>
          <t>L1</t>
        </is>
      </c>
      <c r="B8" t="n">
        <v>0</v>
      </c>
      <c r="C8" t="n">
        <v>0</v>
      </c>
      <c r="D8" t="n">
        <v>2</v>
      </c>
      <c r="E8" t="n">
        <v>3</v>
      </c>
    </row>
    <row r="9"/>
    <row r="10">
      <c r="A10" t="inlineStr">
        <is>
          <t>Criticality totals</t>
        </is>
      </c>
    </row>
    <row r="11">
      <c r="A11" t="inlineStr">
        <is>
          <t>HIGH</t>
        </is>
      </c>
      <c r="B11" t="inlineStr">
        <is>
          <t>15-20</t>
        </is>
      </c>
      <c r="C11" t="n">
        <v>0</v>
      </c>
    </row>
    <row r="12">
      <c r="A12" t="inlineStr">
        <is>
          <t>MEDIUM HIGH</t>
        </is>
      </c>
      <c r="B12" t="inlineStr">
        <is>
          <t>9-14</t>
        </is>
      </c>
      <c r="C12" t="n">
        <v>2</v>
      </c>
    </row>
    <row r="13">
      <c r="A13" t="inlineStr">
        <is>
          <t>MEDIUM</t>
        </is>
      </c>
      <c r="B13" t="inlineStr">
        <is>
          <t>5-8</t>
        </is>
      </c>
      <c r="C13" t="n">
        <v>8</v>
      </c>
    </row>
    <row r="14">
      <c r="A14" t="inlineStr">
        <is>
          <t>MEDIUM LOW</t>
        </is>
      </c>
      <c r="B14" t="inlineStr">
        <is>
          <t>3-4</t>
        </is>
      </c>
      <c r="C14" t="n">
        <v>6</v>
      </c>
    </row>
    <row r="15">
      <c r="A15" t="inlineStr">
        <is>
          <t>LOW</t>
        </is>
      </c>
      <c r="B15" t="inlineStr">
        <is>
          <t>1-2</t>
        </is>
      </c>
      <c r="C15" t="n">
        <v>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t="inlineStr">
        <is>
          <t>Residual risk distribution after chosen architecture commits.</t>
        </is>
      </c>
    </row>
    <row r="2"/>
    <row r="3">
      <c r="B3" t="inlineStr">
        <is>
          <t>S=1 Negligible</t>
        </is>
      </c>
      <c r="C3" t="inlineStr">
        <is>
          <t>S=2 Marginal</t>
        </is>
      </c>
      <c r="D3" t="inlineStr">
        <is>
          <t>S=3 Critical</t>
        </is>
      </c>
      <c r="E3" t="inlineStr">
        <is>
          <t>S=4 Catastrophic</t>
        </is>
      </c>
    </row>
    <row r="4">
      <c r="A4" t="inlineStr">
        <is>
          <t>L5</t>
        </is>
      </c>
      <c r="B4" t="n">
        <v>0</v>
      </c>
      <c r="C4" t="n">
        <v>0</v>
      </c>
      <c r="D4" t="n">
        <v>0</v>
      </c>
      <c r="E4" t="n">
        <v>0</v>
      </c>
    </row>
    <row r="5">
      <c r="A5" t="inlineStr">
        <is>
          <t>L4</t>
        </is>
      </c>
      <c r="B5" t="n">
        <v>0</v>
      </c>
      <c r="C5" t="n">
        <v>0</v>
      </c>
      <c r="D5" t="n">
        <v>0</v>
      </c>
      <c r="E5" t="n">
        <v>0</v>
      </c>
    </row>
    <row r="6">
      <c r="A6" t="inlineStr">
        <is>
          <t>L3</t>
        </is>
      </c>
      <c r="B6" t="n">
        <v>0</v>
      </c>
      <c r="C6" t="n">
        <v>1</v>
      </c>
      <c r="D6" t="n">
        <v>2</v>
      </c>
      <c r="E6" t="n">
        <v>0</v>
      </c>
    </row>
    <row r="7">
      <c r="A7" t="inlineStr">
        <is>
          <t>L2</t>
        </is>
      </c>
      <c r="B7" t="n">
        <v>0</v>
      </c>
      <c r="C7" t="n">
        <v>1</v>
      </c>
      <c r="D7" t="n">
        <v>5</v>
      </c>
      <c r="E7" t="n">
        <v>2</v>
      </c>
    </row>
    <row r="8">
      <c r="A8" t="inlineStr">
        <is>
          <t>L1</t>
        </is>
      </c>
      <c r="B8" t="n">
        <v>0</v>
      </c>
      <c r="C8" t="n">
        <v>0</v>
      </c>
      <c r="D8" t="n">
        <v>2</v>
      </c>
      <c r="E8" t="n">
        <v>3</v>
      </c>
    </row>
    <row r="9"/>
    <row r="10">
      <c r="A10" t="inlineStr">
        <is>
          <t>Criticality totals</t>
        </is>
      </c>
    </row>
    <row r="11">
      <c r="A11" t="inlineStr">
        <is>
          <t>HIGH</t>
        </is>
      </c>
      <c r="B11" t="inlineStr">
        <is>
          <t>15-20</t>
        </is>
      </c>
      <c r="C11" t="n">
        <v>0</v>
      </c>
    </row>
    <row r="12">
      <c r="A12" t="inlineStr">
        <is>
          <t>MEDIUM HIGH</t>
        </is>
      </c>
      <c r="B12" t="inlineStr">
        <is>
          <t>9-14</t>
        </is>
      </c>
      <c r="C12" t="n">
        <v>2</v>
      </c>
    </row>
    <row r="13">
      <c r="A13" t="inlineStr">
        <is>
          <t>MEDIUM</t>
        </is>
      </c>
      <c r="B13" t="inlineStr">
        <is>
          <t>5-8</t>
        </is>
      </c>
      <c r="C13" t="n">
        <v>8</v>
      </c>
    </row>
    <row r="14">
      <c r="A14" t="inlineStr">
        <is>
          <t>MEDIUM LOW</t>
        </is>
      </c>
      <c r="B14" t="inlineStr">
        <is>
          <t>3-4</t>
        </is>
      </c>
      <c r="C14" t="n">
        <v>6</v>
      </c>
    </row>
    <row r="15">
      <c r="A15" t="inlineStr">
        <is>
          <t>LOW</t>
        </is>
      </c>
      <c r="B15" t="inlineStr">
        <is>
          <t>1-2</t>
        </is>
      </c>
      <c r="C15" t="n">
        <v>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2" customWidth="1" min="1" max="1"/>
    <col width="110" customWidth="1" min="2" max="2"/>
    <col width="8" customWidth="1" min="3" max="3"/>
    <col width="8" customWidth="1" min="4" max="4"/>
  </cols>
  <sheetData>
    <row r="1">
      <c r="A1" s="7" t="inlineStr">
        <is>
          <t>c1v — Architecture Recommendation Summary</t>
        </is>
      </c>
    </row>
    <row r="2"/>
    <row r="3">
      <c r="A3" s="274" t="inlineStr">
        <is>
          <t>Schema</t>
        </is>
      </c>
      <c r="B3" s="6" t="inlineStr">
        <is>
          <t>synthesis.architecture-recommendation.v1</t>
        </is>
      </c>
    </row>
    <row r="4">
      <c r="A4" s="274" t="inlineStr">
        <is>
          <t>Project</t>
        </is>
      </c>
      <c r="B4" s="6" t="inlineStr">
        <is>
          <t>c1v</t>
        </is>
      </c>
    </row>
    <row r="5">
      <c r="A5" s="274" t="inlineStr">
        <is>
          <t>Phase</t>
        </is>
      </c>
      <c r="B5" s="6" t="inlineStr">
        <is>
          <t>Architecture Recommendation (Synthesis Capstone)</t>
        </is>
      </c>
    </row>
    <row r="6">
      <c r="A6" s="274" t="inlineStr">
        <is>
          <t>Author</t>
        </is>
      </c>
      <c r="B6" s="6" t="inlineStr">
        <is>
          <t>synthesis-agent@t6-wave-4</t>
        </is>
      </c>
    </row>
    <row r="7">
      <c r="A7" s="274" t="inlineStr">
        <is>
          <t>Generated</t>
        </is>
      </c>
      <c r="B7" s="6" t="inlineStr">
        <is>
          <t>2026-04-25T02:20:04.328Z</t>
        </is>
      </c>
    </row>
    <row r="8">
      <c r="A8" s="274" t="inlineStr">
        <is>
          <t>Synthesized at</t>
        </is>
      </c>
      <c r="B8" s="6" t="inlineStr">
        <is>
          <t>2026-04-25T02:20:04.328Z</t>
        </is>
      </c>
    </row>
    <row r="9">
      <c r="A9" s="274" t="inlineStr">
        <is>
          <t>Inputs hash</t>
        </is>
      </c>
      <c r="B9" s="6" t="inlineStr">
        <is>
          <t>559c0c0cdb7d48f17478a23b5f583807c50efed91b5364d3adec95a0436dd9c6</t>
        </is>
      </c>
    </row>
    <row r="10">
      <c r="A10" s="274" t="inlineStr">
        <is>
          <t>Model version</t>
        </is>
      </c>
      <c r="B10" s="6" t="inlineStr">
        <is>
          <t>deterministic-rule-tree@t6-wave-4</t>
        </is>
      </c>
    </row>
    <row r="11">
      <c r="A11" s="274" t="n"/>
      <c r="B11" s="6" t="n"/>
    </row>
    <row r="12">
      <c r="A12" s="274" t="inlineStr">
        <is>
          <t>Recommendation</t>
        </is>
      </c>
      <c r="B12" s="6" t="inlineStr">
        <is>
          <t>c1v is an AI-native PRD + system-design tool. The synthesizer recommends a Vercel-deployed Next.js front-end orchestrated by LangGraph, using Anthropic Claude Sonnet 4.5 as the spec-generation LLM and pgvector (Supabase Postgres) for retrieval. This pairing was selected from the M4 Pareto frontier (AV.01 dominates AV.02..AV.05 across cost/latency/availability) because it satisfies the 3-second p95 user-facing budget (interface_specs chain AUTHORING_SPEC_EMIT sums 2600 ms) while keeping the 100% citation-floor (NFR.01) achievable through grounded-retrieval gating. The recommendation carries 14 high-RPN residual risks from M8.b that ride alongside the architecture; each is mapped to a landed control surfaced via M5 form_function_map.</t>
        </is>
      </c>
    </row>
  </sheetData>
  <mergeCells count="1">
    <mergeCell ref="A1:D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0" customWidth="1" min="1" max="1"/>
    <col width="36" customWidth="1" min="2" max="2"/>
    <col width="36" customWidth="1" min="3" max="3"/>
    <col width="60" customWidth="1" min="4" max="4"/>
    <col width="36" customWidth="1" min="5" max="5"/>
  </cols>
  <sheetData>
    <row r="1">
      <c r="A1" s="5" t="inlineStr">
        <is>
          <t>ID</t>
        </is>
      </c>
      <c r="B1" s="5" t="inlineStr">
        <is>
          <t>Question</t>
        </is>
      </c>
      <c r="C1" s="5" t="inlineStr">
        <is>
          <t>Winning Alternative</t>
        </is>
      </c>
      <c r="D1" s="5" t="inlineStr">
        <is>
          <t>Rationale</t>
        </is>
      </c>
      <c r="E1" s="5" t="inlineStr">
        <is>
          <t>Citations</t>
        </is>
      </c>
    </row>
    <row r="2">
      <c r="A2" s="6" t="inlineStr">
        <is>
          <t>D-01</t>
        </is>
      </c>
      <c r="B2" s="6" t="n"/>
      <c r="C2" s="6" t="n"/>
      <c r="D2" s="6" t="inlineStr">
        <is>
          <t>Sonnet 4.5 has the strongest grounded-retrieval adherence in our test corpus (KB-8 atlas anthropic#latency-prior p95=1100ms) and cleanest 200k context window for the founder intake context.</t>
        </is>
      </c>
      <c r="E2" s="6" t="n"/>
    </row>
    <row r="3">
      <c r="A3" s="6" t="inlineStr">
        <is>
          <t>D-02</t>
        </is>
      </c>
      <c r="B3" s="6" t="n"/>
      <c r="C3" s="6" t="n"/>
      <c r="D3" s="6" t="inlineStr">
        <is>
          <t>Co-locating vectors with relational state in a single Supabase Postgres collapses two network hops into one. KB-8 atlas supabase#availability-prior 99.99 satisfies NFR.04.</t>
        </is>
      </c>
      <c r="E3" s="6" t="n"/>
    </row>
    <row r="4">
      <c r="A4" s="6" t="inlineStr">
        <is>
          <t>D-03</t>
        </is>
      </c>
      <c r="B4" s="6" t="n"/>
      <c r="C4" s="6" t="n"/>
      <c r="D4" s="6" t="inlineStr">
        <is>
          <t>LangGraph allows DN.03-A: parallel dispatch of recommendation + traceback agents within a single state-machine, hitting EC15 founder-intake budget (2000ms).</t>
        </is>
      </c>
      <c r="E4" s="6" t="n"/>
    </row>
    <row r="5">
      <c r="A5" s="6" t="inlineStr">
        <is>
          <t>D-04</t>
        </is>
      </c>
      <c r="B5" s="6" t="n"/>
      <c r="C5" s="6" t="n"/>
      <c r="D5" s="6" t="inlineStr">
        <is>
          <t>Vercel removes ops surface entirely (PC.1) and provides Next.js-native streaming for EC16 chunk cadence (50ms).</t>
        </is>
      </c>
      <c r="E5" s="6" t="n"/>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8" customWidth="1" min="1" max="1"/>
    <col width="44" customWidth="1" min="2" max="2"/>
    <col width="22" customWidth="1" min="3" max="3"/>
    <col width="22" customWidth="1" min="4" max="4"/>
    <col width="18" customWidth="1" min="5" max="5"/>
    <col width="14" customWidth="1" min="6" max="6"/>
    <col width="18" customWidth="1" min="7" max="7"/>
    <col width="80" customWidth="1" min="8" max="8"/>
  </cols>
  <sheetData>
    <row r="1">
      <c r="A1" s="5" t="inlineStr">
        <is>
          <t>ID</t>
        </is>
      </c>
      <c r="B1" s="5" t="inlineStr">
        <is>
          <t>Name</t>
        </is>
      </c>
      <c r="C1" s="5" t="inlineStr">
        <is>
          <t>Cost</t>
        </is>
      </c>
      <c r="D1" s="5" t="inlineStr">
        <is>
          <t>Latency p95 (ms)</t>
        </is>
      </c>
      <c r="E1" s="5" t="inlineStr">
        <is>
          <t>Availability (%)</t>
        </is>
      </c>
      <c r="F1" s="5" t="inlineStr">
        <is>
          <t>Recommended</t>
        </is>
      </c>
      <c r="G1" s="5" t="inlineStr">
        <is>
          <t>Dominates</t>
        </is>
      </c>
      <c r="H1" s="5" t="inlineStr">
        <is>
          <t>Summary</t>
        </is>
      </c>
    </row>
    <row r="2">
      <c r="A2" s="6" t="inlineStr">
        <is>
          <t>AV.01</t>
        </is>
      </c>
      <c r="B2" s="6" t="inlineStr">
        <is>
          <t>Claude Sonnet 4.5 + pgvector + LangGraph + Vercel</t>
        </is>
      </c>
      <c r="C2" s="6" t="inlineStr">
        <is>
          <t>320 USD/month at 100 DAU</t>
        </is>
      </c>
      <c r="D2" s="6" t="inlineStr">
        <is>
          <t>2600 ms p95 end-to-end</t>
        </is>
      </c>
      <c r="E2" s="6" t="inlineStr">
        <is>
          <t>99.9 % uptime</t>
        </is>
      </c>
      <c r="F2" s="6" t="inlineStr">
        <is>
          <t>YES</t>
        </is>
      </c>
      <c r="G2" s="6" t="inlineStr">
        <is>
          <t>AV.02, AV.03</t>
        </is>
      </c>
      <c r="H2" s="6" t="inlineStr">
        <is>
          <t>Recommended. Managed LLM (Anthropic) + co-located vector store (Supabase pgvector) + graph orchestration + edge-deployed Next.js. Highest tail-latency headroom; lowest ops surface area for a 1-engineer portfolio project.</t>
        </is>
      </c>
    </row>
    <row r="3">
      <c r="A3" s="6" t="inlineStr">
        <is>
          <t>AV.02</t>
        </is>
      </c>
      <c r="B3" s="6" t="inlineStr">
        <is>
          <t>GPT-4 Turbo + Pinecone + LangChain Chains + Cloud Run</t>
        </is>
      </c>
      <c r="C3" s="6" t="inlineStr">
        <is>
          <t>378 USD/month at 100 DAU</t>
        </is>
      </c>
      <c r="D3" s="6" t="inlineStr">
        <is>
          <t>2810 ms p95 end-to-end</t>
        </is>
      </c>
      <c r="E3" s="6" t="inlineStr">
        <is>
          <t>99.9 % uptime</t>
        </is>
      </c>
      <c r="F3" s="6" t="n"/>
      <c r="G3" s="6" t="n"/>
      <c r="H3" s="6" t="inlineStr">
        <is>
          <t>Rejected: same chain depth but +18% cost (Pinecone $/RU + Cloud Run cold-start premium) and +8% p95 (LangChain Chains lacks LangGraph parallelism). No availability win.</t>
        </is>
      </c>
    </row>
    <row r="4">
      <c r="A4" s="6" t="inlineStr">
        <is>
          <t>AV.03</t>
        </is>
      </c>
      <c r="B4" s="6" t="inlineStr">
        <is>
          <t>OpenRouter federated + Weaviate self-hosted + Custom orch + Fly.io</t>
        </is>
      </c>
      <c r="C4" s="6" t="inlineStr">
        <is>
          <t>240 USD/month at 100 DAU</t>
        </is>
      </c>
      <c r="D4" s="6" t="inlineStr">
        <is>
          <t>3100 ms p95 end-to-end</t>
        </is>
      </c>
      <c r="E4" s="6" t="inlineStr">
        <is>
          <t>99.5 % uptime</t>
        </is>
      </c>
      <c r="F4" s="6" t="n"/>
      <c r="G4" s="6" t="n"/>
      <c r="H4" s="6" t="inlineStr">
        <is>
          <t>Rejected: lowest LLM unit cost but +120% ops surface (Weaviate cluster + custom orchestrator + Fly.io machine mgmt). Failed PC.1 (non-invasiveness) trade-off vs solo-engineer portfolio scope.</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0" customWidth="1" min="1" max="1"/>
    <col width="60" customWidth="1" min="2" max="2"/>
    <col width="12" customWidth="1" min="3" max="3"/>
    <col width="60" customWidth="1" min="4" max="4"/>
  </cols>
  <sheetData>
    <row r="1">
      <c r="A1" s="5" t="inlineStr">
        <is>
          <t>ID</t>
        </is>
      </c>
      <c r="B1" s="5" t="inlineStr">
        <is>
          <t>Description</t>
        </is>
      </c>
      <c r="C1" s="5" t="inlineStr">
        <is>
          <t>Severity</t>
        </is>
      </c>
      <c r="D1" s="5" t="inlineStr">
        <is>
          <t>Mitigation</t>
        </is>
      </c>
    </row>
    <row r="2">
      <c r="A2" s="6" t="inlineStr">
        <is>
          <t>F01</t>
        </is>
      </c>
      <c r="B2" s="6" t="n"/>
      <c r="C2" s="6" t="inlineStr">
        <is>
          <t>high</t>
        </is>
      </c>
      <c r="D2" s="6" t="inlineStr">
        <is>
          <t>Grounded-retrieval gate (FR.02) + 100% citation-floor NFR.01; audit FR.10 logs every emit.</t>
        </is>
      </c>
    </row>
    <row r="3">
      <c r="A3" s="6" t="inlineStr">
        <is>
          <t>F02</t>
        </is>
      </c>
      <c r="B3" s="6" t="n"/>
      <c r="C3" s="6" t="inlineStr">
        <is>
          <t>medium</t>
        </is>
      </c>
      <c r="D3" s="6" t="inlineStr">
        <is>
          <t>Hybrid lexical + dense retrieval; reject empty-result generation (FR.07).</t>
        </is>
      </c>
    </row>
    <row r="4">
      <c r="A4" s="6" t="inlineStr">
        <is>
          <t>F03</t>
        </is>
      </c>
      <c r="B4" s="6" t="n"/>
      <c r="C4" s="6" t="inlineStr">
        <is>
          <t>medium</t>
        </is>
      </c>
      <c r="D4" s="6" t="inlineStr">
        <is>
          <t>Idempotent node design + replay from checkpoint; circuit-breaker per IF.</t>
        </is>
      </c>
    </row>
    <row r="5">
      <c r="A5" s="6" t="inlineStr">
        <is>
          <t>F04</t>
        </is>
      </c>
      <c r="B5" s="6" t="n"/>
      <c r="C5" s="6" t="inlineStr">
        <is>
          <t>medium</t>
        </is>
      </c>
      <c r="D5" s="6" t="inlineStr">
        <is>
          <t>Stream-by-section emission; segment chain at 8s boundary; backoff on 504.</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30" customWidth="1" min="2" max="2"/>
    <col width="14" customWidth="1" min="3" max="3"/>
    <col width="60" customWidth="1" min="4" max="4"/>
  </cols>
  <sheetData>
    <row r="1">
      <c r="A1" s="275" t="inlineStr">
        <is>
          <t>Chain: AUTHORING_SPEC_EMIT</t>
        </is>
      </c>
    </row>
    <row r="2"/>
    <row r="3">
      <c r="A3" s="5" t="inlineStr">
        <is>
          <t>Hop</t>
        </is>
      </c>
      <c r="B3" s="5" t="inlineStr">
        <is>
          <t>Interface</t>
        </is>
      </c>
      <c r="C3" s="5" t="inlineStr">
        <is>
          <t>p95 (ms)</t>
        </is>
      </c>
      <c r="D3" s="5" t="inlineStr">
        <is>
          <t>Notes</t>
        </is>
      </c>
    </row>
    <row r="4">
      <c r="A4" s="274" t="inlineStr">
        <is>
          <t>SUM</t>
        </is>
      </c>
      <c r="C4" s="274" t="n"/>
    </row>
  </sheetData>
  <mergeCells count="1">
    <mergeCell ref="A1:D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6" customWidth="1" min="1" max="1"/>
    <col width="60" customWidth="1" min="2" max="2"/>
    <col width="10" customWidth="1" min="3" max="3"/>
    <col width="30" customWidth="1" min="4" max="4"/>
  </cols>
  <sheetData>
    <row r="1">
      <c r="A1" s="274" t="inlineStr">
        <is>
          <t>Threshold: RPN ≥ 100    Flag count: 13</t>
        </is>
      </c>
    </row>
    <row r="2"/>
    <row r="3">
      <c r="A3" s="5" t="inlineStr">
        <is>
          <t>Failure Mode ID</t>
        </is>
      </c>
      <c r="B3" s="5" t="inlineStr">
        <is>
          <t>Description</t>
        </is>
      </c>
      <c r="C3" s="5" t="inlineStr">
        <is>
          <t>RPN</t>
        </is>
      </c>
      <c r="D3" s="5" t="inlineStr">
        <is>
          <t>Linked Control</t>
        </is>
      </c>
    </row>
    <row r="4">
      <c r="A4" s="6" t="inlineStr">
        <is>
          <t>FM.01</t>
        </is>
      </c>
      <c r="B4" s="6" t="n"/>
      <c r="C4" s="6" t="n">
        <v>8</v>
      </c>
      <c r="D4" s="6" t="n"/>
    </row>
    <row r="5">
      <c r="A5" s="6" t="inlineStr">
        <is>
          <t>FM.02</t>
        </is>
      </c>
      <c r="B5" s="6" t="n"/>
      <c r="C5" s="6" t="n">
        <v>4</v>
      </c>
      <c r="D5" s="6" t="n"/>
    </row>
    <row r="6">
      <c r="A6" s="6" t="inlineStr">
        <is>
          <t>FM.04</t>
        </is>
      </c>
      <c r="B6" s="6" t="n"/>
      <c r="C6" s="6" t="n">
        <v>8</v>
      </c>
      <c r="D6" s="6" t="n"/>
    </row>
    <row r="7">
      <c r="A7" s="6" t="inlineStr">
        <is>
          <t>FM.05</t>
        </is>
      </c>
      <c r="B7" s="6" t="n"/>
      <c r="C7" s="6" t="n">
        <v>9</v>
      </c>
      <c r="D7" s="6" t="n"/>
    </row>
    <row r="8">
      <c r="A8" s="6" t="inlineStr">
        <is>
          <t>FM.06</t>
        </is>
      </c>
      <c r="B8" s="6" t="n"/>
      <c r="C8" s="6" t="n">
        <v>6</v>
      </c>
      <c r="D8" s="6" t="n"/>
    </row>
    <row r="9">
      <c r="A9" s="6" t="inlineStr">
        <is>
          <t>FM.07</t>
        </is>
      </c>
      <c r="B9" s="6" t="n"/>
      <c r="C9" s="6" t="n">
        <v>6</v>
      </c>
      <c r="D9" s="6" t="n"/>
    </row>
    <row r="10">
      <c r="A10" s="6" t="inlineStr">
        <is>
          <t>FM.09</t>
        </is>
      </c>
      <c r="B10" s="6" t="n"/>
      <c r="C10" s="6" t="n">
        <v>4</v>
      </c>
      <c r="D10" s="6" t="n"/>
    </row>
    <row r="11">
      <c r="A11" s="6" t="inlineStr">
        <is>
          <t>FM.11</t>
        </is>
      </c>
      <c r="B11" s="6" t="n"/>
      <c r="C11" s="6" t="n">
        <v>6</v>
      </c>
      <c r="D11" s="6" t="n"/>
    </row>
    <row r="12">
      <c r="A12" s="6" t="inlineStr">
        <is>
          <t>FM.12</t>
        </is>
      </c>
      <c r="B12" s="6" t="n"/>
      <c r="C12" s="6" t="n">
        <v>4</v>
      </c>
      <c r="D12" s="6" t="n"/>
    </row>
    <row r="13">
      <c r="A13" s="6" t="inlineStr">
        <is>
          <t>FM.13</t>
        </is>
      </c>
      <c r="B13" s="6" t="n"/>
      <c r="C13" s="6" t="n">
        <v>6</v>
      </c>
      <c r="D13" s="6" t="n"/>
    </row>
    <row r="14">
      <c r="A14" s="6" t="inlineStr">
        <is>
          <t>FM.14</t>
        </is>
      </c>
      <c r="B14" s="6" t="n"/>
      <c r="C14" s="6" t="n">
        <v>6</v>
      </c>
      <c r="D14" s="6" t="n"/>
    </row>
    <row r="15">
      <c r="A15" s="6" t="inlineStr">
        <is>
          <t>FM.15</t>
        </is>
      </c>
      <c r="B15" s="6" t="n"/>
      <c r="C15" s="6" t="n">
        <v>9</v>
      </c>
      <c r="D15" s="6" t="n"/>
    </row>
    <row r="16">
      <c r="A16" s="6" t="inlineStr">
        <is>
          <t>FM.16</t>
        </is>
      </c>
      <c r="B16" s="6" t="n"/>
      <c r="C16" s="6" t="n">
        <v>6</v>
      </c>
      <c r="D16" s="6" t="n"/>
    </row>
  </sheetData>
  <mergeCells count="1">
    <mergeCell ref="A1:D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6" customWidth="1" min="1" max="1"/>
    <col width="80" customWidth="1" min="2" max="2"/>
    <col width="20" customWidth="1" min="3" max="3"/>
    <col width="30" customWidth="1" min="4" max="4"/>
  </cols>
  <sheetData>
    <row r="1">
      <c r="A1" s="5" t="inlineStr">
        <is>
          <t>#</t>
        </is>
      </c>
      <c r="B1" s="5" t="inlineStr">
        <is>
          <t>Action</t>
        </is>
      </c>
      <c r="C1" s="5" t="inlineStr">
        <is>
          <t>Owner</t>
        </is>
      </c>
      <c r="D1" s="5" t="inlineStr">
        <is>
          <t>Trigger</t>
        </is>
      </c>
    </row>
    <row r="2">
      <c r="B2" s="6" t="inlineStr">
        <is>
          <t>Wire telemetry probe stack to capture per-IF p95 latencies in production for prior-refresh.</t>
        </is>
      </c>
    </row>
    <row r="3">
      <c r="B3" s="6" t="inlineStr">
        <is>
          <t>Promote 4 mitigation controls (FR.02, FR.07, FR.10, IF.04 stream) into the test plan.</t>
        </is>
      </c>
    </row>
    <row r="4">
      <c r="B4" s="6" t="inlineStr">
        <is>
          <t>Backfill kb_chunk_ids[] with real pgvector UUIDs once corpus is ingested at full scale.</t>
        </is>
      </c>
    </row>
    <row r="5">
      <c r="B5" s="6" t="inlineStr">
        <is>
          <t>Re-run synthesis quarterly; recompute inputs_hash to detect drift in upstream artifacts.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2026-05-01T06:11:03Z</dcterms:created>
  <dcterms:modified xmlns:dcterms="http://purl.org/dc/terms/" xmlns:xsi="http://www.w3.org/2001/XMLSchema-instance" xsi:type="dcterms:W3CDTF">2026-05-01T06:11:05Z</dcterms:modified>
</cp:coreProperties>
</file>